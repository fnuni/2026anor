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" sheetId="1" state="visible" r:id="rId3"/>
    <sheet name="Data" sheetId="2" state="visible" r:id="rId4"/>
    <sheet name="Selector" sheetId="3" state="visible" r:id="rId5"/>
    <sheet name="Sequence" sheetId="4" state="visible" r:id="rId6"/>
    <sheet name="Repetition" sheetId="5" state="visible" r:id="rId7"/>
    <sheet name="Profiles" sheetId="6" state="visible" r:id="rId8"/>
    <sheet name="VignetteKeys" sheetId="7" state="visible" r:id="rId9"/>
    <sheet name="Responses" sheetId="8" state="visible" r:id="rId10"/>
    <sheet name="Checks" sheetId="9" state="visible" r:id="rId11"/>
    <sheet name="Raw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<sst xmlns="http://schemas.openxmlformats.org/spreadsheetml/2006/main" count="1232" uniqueCount="426">
  <si>
    <t xml:space="preserve">Anonymous expert consultation (five practitioners, September 2026) — answers and automatic checks</t>
  </si>
  <si>
    <t xml:space="preserve">Sheet “Responses”: answers read automatically (import_responses.py) from the five anonymous booklets P01–P05, one row per booklet. Total time was not recorded.</t>
  </si>
  <si>
    <t xml:space="preserve">Multiple-choice items: position of the ticked box counting from the left (1 = first box); empty = no answer.</t>
  </si>
  <si>
    <t xml:space="preserve">D1 in cases with several options and in case 5: letter chosen (N, A, B, … or P, Q, … in case 5). D1 with a single recommendation: 1 = Yes, 2 = Yes but alternatives, 3 = No.</t>
  </si>
  <si>
    <t xml:space="preserve">D2 selector: value set (0 = “I would not use it”). D5 confidence: 1–7.</t>
  </si>
  <si>
    <t xml:space="preserve">Sheet “Checks”: regrets under each expert's own priorities and pre-specified X/Y flags (X = outside the expected range, Y = desirable, – = acceptable). No clarification was obtained.</t>
  </si>
  <si>
    <t xml:space="preserve">Sheet “Raw”: every ticked box. Sheets Data, Selector, Sequence, Repetition, Profiles, VignetteKeys: case data and answer keys.</t>
  </si>
  <si>
    <t xml:space="preserve">Case data: released C-R-EoH code (github.com/fnuni/2026anor), synthetic scheduling instances 4, 9, 12, 14 (cases), 10 (example), 16, 18 (presentation check).</t>
  </si>
  <si>
    <t xml:space="preserve">SUS items: Brooke, J. (1996) SUS: a quick and dirty usability scale.</t>
  </si>
  <si>
    <t xml:space="preserve">Key (instance|label)</t>
  </si>
  <si>
    <t xml:space="preserve">Instance</t>
  </si>
  <si>
    <t xml:space="preserve">Label</t>
  </si>
  <si>
    <t xml:space="preserve">n1 cost</t>
  </si>
  <si>
    <t xml:space="preserve">n2 difficult</t>
  </si>
  <si>
    <t xml:space="preserve">n3 variability</t>
  </si>
  <si>
    <t xml:space="preserve">Technicians</t>
  </si>
  <si>
    <t xml:space="preserve">In portfolio</t>
  </si>
  <si>
    <t xml:space="preserve">Reachable with selector</t>
  </si>
  <si>
    <t xml:space="preserve">U_P01</t>
  </si>
  <si>
    <t xml:space="preserve">U_P02</t>
  </si>
  <si>
    <t xml:space="preserve">U_P03</t>
  </si>
  <si>
    <t xml:space="preserve">U_P04</t>
  </si>
  <si>
    <t xml:space="preserve">U_P05</t>
  </si>
  <si>
    <t xml:space="preserve">12|N</t>
  </si>
  <si>
    <t xml:space="preserve">N</t>
  </si>
  <si>
    <t xml:space="preserve">12|A</t>
  </si>
  <si>
    <t xml:space="preserve">A</t>
  </si>
  <si>
    <t xml:space="preserve">12|B</t>
  </si>
  <si>
    <t xml:space="preserve">B</t>
  </si>
  <si>
    <t xml:space="preserve">12|C</t>
  </si>
  <si>
    <t xml:space="preserve">C</t>
  </si>
  <si>
    <t xml:space="preserve">12|D</t>
  </si>
  <si>
    <t xml:space="preserve">D</t>
  </si>
  <si>
    <t xml:space="preserve">12|E</t>
  </si>
  <si>
    <t xml:space="preserve">E</t>
  </si>
  <si>
    <t xml:space="preserve">14|N</t>
  </si>
  <si>
    <t xml:space="preserve">14|A</t>
  </si>
  <si>
    <t xml:space="preserve">14|B</t>
  </si>
  <si>
    <t xml:space="preserve">14|C</t>
  </si>
  <si>
    <t xml:space="preserve">14|D</t>
  </si>
  <si>
    <t xml:space="preserve">14|E</t>
  </si>
  <si>
    <t xml:space="preserve">14|F</t>
  </si>
  <si>
    <t xml:space="preserve">F</t>
  </si>
  <si>
    <t xml:space="preserve">4|N</t>
  </si>
  <si>
    <t xml:space="preserve">4|A</t>
  </si>
  <si>
    <t xml:space="preserve">4|B</t>
  </si>
  <si>
    <t xml:space="preserve">4|C</t>
  </si>
  <si>
    <t xml:space="preserve">4|D</t>
  </si>
  <si>
    <t xml:space="preserve">4|E</t>
  </si>
  <si>
    <t xml:space="preserve">9|N</t>
  </si>
  <si>
    <t xml:space="preserve">9|A</t>
  </si>
  <si>
    <t xml:space="preserve">9|B</t>
  </si>
  <si>
    <t xml:space="preserve">9|C</t>
  </si>
  <si>
    <t xml:space="preserve">9|D</t>
  </si>
  <si>
    <t xml:space="preserve">9|E</t>
  </si>
  <si>
    <t xml:space="preserve">Key (instance*100+θ*10)</t>
  </si>
  <si>
    <t xml:space="preserve">θ</t>
  </si>
  <si>
    <t xml:space="preserve">Recommended label</t>
  </si>
  <si>
    <t xml:space="preserve">Form</t>
  </si>
  <si>
    <t xml:space="preserve">Case</t>
  </si>
  <si>
    <t xml:space="preserve">Format</t>
  </si>
  <si>
    <t xml:space="preserve">R1 key</t>
  </si>
  <si>
    <t xml:space="preserve">R2 key</t>
  </si>
  <si>
    <t xml:space="preserve">R3 key</t>
  </si>
  <si>
    <t xml:space="preserve">Note</t>
  </si>
  <si>
    <t xml:space="preserve">X</t>
  </si>
  <si>
    <t xml:space="preserve">R</t>
  </si>
  <si>
    <t xml:space="preserve">case 5 letters: P=E, Q=D, R=A, S=C, T=B</t>
  </si>
  <si>
    <t xml:space="preserve">Y</t>
  </si>
  <si>
    <t xml:space="preserve">case 5 letters: P=E, Q=D, R=B, S=A, T=C</t>
  </si>
  <si>
    <t xml:space="preserve">Key (form|letter)</t>
  </si>
  <si>
    <t xml:space="preserve">Case 5 letter</t>
  </si>
  <si>
    <t xml:space="preserve">Original letter</t>
  </si>
  <si>
    <t xml:space="preserve">X|P</t>
  </si>
  <si>
    <t xml:space="preserve">P</t>
  </si>
  <si>
    <t xml:space="preserve">X|Q</t>
  </si>
  <si>
    <t xml:space="preserve">Q</t>
  </si>
  <si>
    <t xml:space="preserve">X|R</t>
  </si>
  <si>
    <t xml:space="preserve">X|S</t>
  </si>
  <si>
    <t xml:space="preserve">S</t>
  </si>
  <si>
    <t xml:space="preserve">X|T</t>
  </si>
  <si>
    <t xml:space="preserve">T</t>
  </si>
  <si>
    <t xml:space="preserve">X|N</t>
  </si>
  <si>
    <t xml:space="preserve">Y|P</t>
  </si>
  <si>
    <t xml:space="preserve">Y|Q</t>
  </si>
  <si>
    <t xml:space="preserve">Y|R</t>
  </si>
  <si>
    <t xml:space="preserve">Y|S</t>
  </si>
  <si>
    <t xml:space="preserve">Y|T</t>
  </si>
  <si>
    <t xml:space="preserve">Y|N</t>
  </si>
  <si>
    <t xml:space="preserve">Profile no.</t>
  </si>
  <si>
    <t xml:space="preserve">Profile</t>
  </si>
  <si>
    <t xml:space="preserve">Tokens cost</t>
  </si>
  <si>
    <t xml:space="preserve">Tokens difficult</t>
  </si>
  <si>
    <t xml:space="preserve">Tokens predictability</t>
  </si>
  <si>
    <t xml:space="preserve">Budget-driven</t>
  </si>
  <si>
    <t xml:space="preserve">Balanced</t>
  </si>
  <si>
    <t xml:space="preserve">Service level</t>
  </si>
  <si>
    <t xml:space="preserve">Overtime-averse</t>
  </si>
  <si>
    <t xml:space="preserve">Predictable days</t>
  </si>
  <si>
    <t xml:space="preserve">Worst case</t>
  </si>
  <si>
    <t xml:space="preserve">V1.1</t>
  </si>
  <si>
    <t xml:space="preserve">V1.2</t>
  </si>
  <si>
    <t xml:space="preserve">V2.1</t>
  </si>
  <si>
    <t xml:space="preserve">V2.2</t>
  </si>
  <si>
    <t xml:space="preserve">Booklet answers of the five anonymous experts (see Legend).</t>
  </si>
  <si>
    <t xml:space="preserve">Code</t>
  </si>
  <si>
    <t xml:space="preserve">Profile (1–7)</t>
  </si>
  <si>
    <t xml:space="preserve">Q1</t>
  </si>
  <si>
    <t xml:space="preserve">Q2</t>
  </si>
  <si>
    <t xml:space="preserve">Q3</t>
  </si>
  <si>
    <t xml:space="preserve">Q4</t>
  </si>
  <si>
    <t xml:space="preserve">Q5</t>
  </si>
  <si>
    <t xml:space="preserve">C1 L1</t>
  </si>
  <si>
    <t xml:space="preserve">C1 L2</t>
  </si>
  <si>
    <t xml:space="preserve">C1 L3</t>
  </si>
  <si>
    <t xml:space="preserve">C1 D1</t>
  </si>
  <si>
    <t xml:space="preserve">C1 D2 θ</t>
  </si>
  <si>
    <t xml:space="preserve">C1 D5 confidence</t>
  </si>
  <si>
    <t xml:space="preserve">C2 L1</t>
  </si>
  <si>
    <t xml:space="preserve">C2 L2</t>
  </si>
  <si>
    <t xml:space="preserve">C2 L3</t>
  </si>
  <si>
    <t xml:space="preserve">C2 D1</t>
  </si>
  <si>
    <t xml:space="preserve">C2 D2 θ</t>
  </si>
  <si>
    <t xml:space="preserve">C2 D5 confidence</t>
  </si>
  <si>
    <t xml:space="preserve">C3 L1</t>
  </si>
  <si>
    <t xml:space="preserve">C3 L2</t>
  </si>
  <si>
    <t xml:space="preserve">C3 L3</t>
  </si>
  <si>
    <t xml:space="preserve">C3 D1</t>
  </si>
  <si>
    <t xml:space="preserve">C3 D2 θ</t>
  </si>
  <si>
    <t xml:space="preserve">C3 D5 confidence</t>
  </si>
  <si>
    <t xml:space="preserve">C4 L1</t>
  </si>
  <si>
    <t xml:space="preserve">C4 L2</t>
  </si>
  <si>
    <t xml:space="preserve">C4 L3</t>
  </si>
  <si>
    <t xml:space="preserve">C4 D1</t>
  </si>
  <si>
    <t xml:space="preserve">C4 D2 θ</t>
  </si>
  <si>
    <t xml:space="preserve">C4 D5 confidence</t>
  </si>
  <si>
    <t xml:space="preserve">C5 L1</t>
  </si>
  <si>
    <t xml:space="preserve">C5 L2</t>
  </si>
  <si>
    <t xml:space="preserve">C5 L3</t>
  </si>
  <si>
    <t xml:space="preserve">C5 D1</t>
  </si>
  <si>
    <t xml:space="preserve">C5 D2 θ</t>
  </si>
  <si>
    <t xml:space="preserve">C5 D5 confidence</t>
  </si>
  <si>
    <t xml:space="preserve">G4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</si>
  <si>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</si>
  <si>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</si>
  <si>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</si>
  <si>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</si>
  <si>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</si>
  <si>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</si>
  <si>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</si>
  <si>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</si>
  <si>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S9</t>
  </si>
  <si>
    <t xml:space="preserve">S10</t>
  </si>
  <si>
    <t xml:space="preserve">Total minutes</t>
  </si>
  <si>
    <t xml:space="preserve">Import anomalies</t>
  </si>
  <si>
    <t xml:space="preserve">P01</t>
  </si>
  <si>
    <t xml:space="preserve">P02</t>
  </si>
  <si>
    <t xml:space="preserve">P03</t>
  </si>
  <si>
    <t xml:space="preserve">P04</t>
  </si>
  <si>
    <t xml:space="preserve">P05</t>
  </si>
  <si>
    <t xml:space="preserve">Token total</t>
  </si>
  <si>
    <t xml:space="preserve">Flag tokens</t>
  </si>
  <si>
    <t xml:space="preserve">Max deviation from profile</t>
  </si>
  <si>
    <t xml:space="preserve">Flag profile</t>
  </si>
  <si>
    <t xml:space="preserve">Quiz correct</t>
  </si>
  <si>
    <t xml:space="preserve">Flag quiz</t>
  </si>
  <si>
    <t xml:space="preserve">C1 format</t>
  </si>
  <si>
    <t xml:space="preserve">C1 reading correct</t>
  </si>
  <si>
    <t xml:space="preserve">C1 flag reading</t>
  </si>
  <si>
    <t xml:space="preserve">C1 regret of choice</t>
  </si>
  <si>
    <t xml:space="preserve">C1 regret of N</t>
  </si>
  <si>
    <t xml:space="preserve">C1 flag choice</t>
  </si>
  <si>
    <t xml:space="preserve">C1 flag selector</t>
  </si>
  <si>
    <t xml:space="preserve">C1 flag single recommendation</t>
  </si>
  <si>
    <t xml:space="preserve">C2 format</t>
  </si>
  <si>
    <t xml:space="preserve">C2 reading correct</t>
  </si>
  <si>
    <t xml:space="preserve">C2 flag reading</t>
  </si>
  <si>
    <t xml:space="preserve">C2 regret of choice</t>
  </si>
  <si>
    <t xml:space="preserve">C2 regret of N</t>
  </si>
  <si>
    <t xml:space="preserve">C2 flag choice</t>
  </si>
  <si>
    <t xml:space="preserve">C2 flag selector</t>
  </si>
  <si>
    <t xml:space="preserve">C2 flag single recommendation</t>
  </si>
  <si>
    <t xml:space="preserve">C3 format</t>
  </si>
  <si>
    <t xml:space="preserve">C3 reading correct</t>
  </si>
  <si>
    <t xml:space="preserve">C3 flag reading</t>
  </si>
  <si>
    <t xml:space="preserve">C3 regret of choice</t>
  </si>
  <si>
    <t xml:space="preserve">C3 regret of N</t>
  </si>
  <si>
    <t xml:space="preserve">C3 flag choice</t>
  </si>
  <si>
    <t xml:space="preserve">C3 flag selector</t>
  </si>
  <si>
    <t xml:space="preserve">C3 flag single recommendation</t>
  </si>
  <si>
    <t xml:space="preserve">C4 format</t>
  </si>
  <si>
    <t xml:space="preserve">C4 reading correct</t>
  </si>
  <si>
    <t xml:space="preserve">C4 flag reading</t>
  </si>
  <si>
    <t xml:space="preserve">C4 regret of choice</t>
  </si>
  <si>
    <t xml:space="preserve">C4 regret of N</t>
  </si>
  <si>
    <t xml:space="preserve">C4 flag choice</t>
  </si>
  <si>
    <t xml:space="preserve">C4 flag selector</t>
  </si>
  <si>
    <t xml:space="preserve">C4 flag single recommendation</t>
  </si>
  <si>
    <t xml:space="preserve">C5 format</t>
  </si>
  <si>
    <t xml:space="preserve">C5 reading correct</t>
  </si>
  <si>
    <t xml:space="preserve">C5 flag reading</t>
  </si>
  <si>
    <t xml:space="preserve">C5 regret of choice</t>
  </si>
  <si>
    <t xml:space="preserve">C5 regret of N</t>
  </si>
  <si>
    <t xml:space="preserve">C5 flag choice</t>
  </si>
  <si>
    <t xml:space="preserve">C5 flag selector</t>
  </si>
  <si>
    <t xml:space="preserve">C5 flag single recommendation</t>
  </si>
  <si>
    <t xml:space="preserve">Flag total time</t>
  </si>
  <si>
    <t xml:space="preserve">Repetition: regret difference</t>
  </si>
  <si>
    <t xml:space="preserve">Flag repetition</t>
  </si>
  <si>
    <t xml:space="preserve">Vignettes correct</t>
  </si>
  <si>
    <t xml:space="preserve">Flag vignettes</t>
  </si>
  <si>
    <t xml:space="preserve">Flag attention G4</t>
  </si>
  <si>
    <t xml:space="preserve">SUS</t>
  </si>
  <si>
    <t xml:space="preserve">Flag SUS</t>
  </si>
  <si>
    <t xml:space="preserve">Mean confidence B</t>
  </si>
  <si>
    <t xml:space="preserve">Mean confidence A</t>
  </si>
  <si>
    <t xml:space="preserve">Flag confidence</t>
  </si>
  <si>
    <t xml:space="preserve">Number of X flags</t>
  </si>
  <si>
    <t xml:space="preserve">Tag</t>
  </si>
  <si>
    <t xml:space="preserve">Value</t>
  </si>
  <si>
    <t xml:space="preserve">ADESIONE_1</t>
  </si>
  <si>
    <t xml:space="preserve">C1_D1_3</t>
  </si>
  <si>
    <t xml:space="preserve">C1_D2_2</t>
  </si>
  <si>
    <t xml:space="preserve">C1_D3_5</t>
  </si>
  <si>
    <t xml:space="preserve">C1_D4_9</t>
  </si>
  <si>
    <t xml:space="preserve">C1_D5_5</t>
  </si>
  <si>
    <t xml:space="preserve">C1_L1_2</t>
  </si>
  <si>
    <t xml:space="preserve">C1_L2_2</t>
  </si>
  <si>
    <t xml:space="preserve">C1_L3_1</t>
  </si>
  <si>
    <t xml:space="preserve">C2_D1_2</t>
  </si>
  <si>
    <t xml:space="preserve">C2_D2_3</t>
  </si>
  <si>
    <t xml:space="preserve">C2_D3_4</t>
  </si>
  <si>
    <t xml:space="preserve">C2_D4_9</t>
  </si>
  <si>
    <t xml:space="preserve">C2_D5_5</t>
  </si>
  <si>
    <t xml:space="preserve">C2_L1_2</t>
  </si>
  <si>
    <t xml:space="preserve">C2_L2_3</t>
  </si>
  <si>
    <t xml:space="preserve">C2_L3_4</t>
  </si>
  <si>
    <t xml:space="preserve">C3_D1_2</t>
  </si>
  <si>
    <t xml:space="preserve">C3_D2_5</t>
  </si>
  <si>
    <t xml:space="preserve">C3_D3_2</t>
  </si>
  <si>
    <t xml:space="preserve">C3_D3_7</t>
  </si>
  <si>
    <t xml:space="preserve">C3_D4_3</t>
  </si>
  <si>
    <t xml:space="preserve">C3_D5_6</t>
  </si>
  <si>
    <t xml:space="preserve">C3_L1_3</t>
  </si>
  <si>
    <t xml:space="preserve">C3_L2_2</t>
  </si>
  <si>
    <t xml:space="preserve">C3_L3_2</t>
  </si>
  <si>
    <t xml:space="preserve">C4_D1_4</t>
  </si>
  <si>
    <t xml:space="preserve">C4_D2_8</t>
  </si>
  <si>
    <t xml:space="preserve">C4_D3_5</t>
  </si>
  <si>
    <t xml:space="preserve">C4_D3_6</t>
  </si>
  <si>
    <t xml:space="preserve">C4_D4_3</t>
  </si>
  <si>
    <t xml:space="preserve">C4_D5_6</t>
  </si>
  <si>
    <t xml:space="preserve">C4_L1_4</t>
  </si>
  <si>
    <t xml:space="preserve">C4_L2_3</t>
  </si>
  <si>
    <t xml:space="preserve">C4_L3_2</t>
  </si>
  <si>
    <t xml:space="preserve">C5_D1_6</t>
  </si>
  <si>
    <t xml:space="preserve">C5_D2_7</t>
  </si>
  <si>
    <t xml:space="preserve">C5_D3_2</t>
  </si>
  <si>
    <t xml:space="preserve">C5_D3_4</t>
  </si>
  <si>
    <t xml:space="preserve">C5_D4_3</t>
  </si>
  <si>
    <t xml:space="preserve">C5_D5_6</t>
  </si>
  <si>
    <t xml:space="preserve">C5_L1_5</t>
  </si>
  <si>
    <t xml:space="preserve">C5_L2_5</t>
  </si>
  <si>
    <t xml:space="preserve">C5_L3_2</t>
  </si>
  <si>
    <t xml:space="preserve">F1_4</t>
  </si>
  <si>
    <t xml:space="preserve">F2_1</t>
  </si>
  <si>
    <t xml:space="preserve">G1_5</t>
  </si>
  <si>
    <t xml:space="preserve">G2_4</t>
  </si>
  <si>
    <t xml:space="preserve">G3_3</t>
  </si>
  <si>
    <t xml:space="preserve">G4_4</t>
  </si>
  <si>
    <t xml:space="preserve">G5_4</t>
  </si>
  <si>
    <t xml:space="preserve">G6_3</t>
  </si>
  <si>
    <t xml:space="preserve">G7_3</t>
  </si>
  <si>
    <t xml:space="preserve">P0A_1</t>
  </si>
  <si>
    <t xml:space="preserve">P0B_2</t>
  </si>
  <si>
    <t xml:space="preserve">P0C_1</t>
  </si>
  <si>
    <t xml:space="preserve">PROF_2</t>
  </si>
  <si>
    <t xml:space="preserve">Q1_2</t>
  </si>
  <si>
    <t xml:space="preserve">Q2_1</t>
  </si>
  <si>
    <t xml:space="preserve">Q3_2</t>
  </si>
  <si>
    <t xml:space="preserve">Q4_2</t>
  </si>
  <si>
    <t xml:space="preserve">Q5_2</t>
  </si>
  <si>
    <t xml:space="preserve">S10_3</t>
  </si>
  <si>
    <t xml:space="preserve">S1_4</t>
  </si>
  <si>
    <t xml:space="preserve">S2_2</t>
  </si>
  <si>
    <t xml:space="preserve">S3_4</t>
  </si>
  <si>
    <t xml:space="preserve">S4_3</t>
  </si>
  <si>
    <t xml:space="preserve">S5_3</t>
  </si>
  <si>
    <t xml:space="preserve">S6_2</t>
  </si>
  <si>
    <t xml:space="preserve">S7_3</t>
  </si>
  <si>
    <t xml:space="preserve">S8_3</t>
  </si>
  <si>
    <t xml:space="preserve">S9_4</t>
  </si>
  <si>
    <t xml:space="preserve">TOK_C_1</t>
  </si>
  <si>
    <t xml:space="preserve">TOK_C_2</t>
  </si>
  <si>
    <t xml:space="preserve">TOK_C_3</t>
  </si>
  <si>
    <t xml:space="preserve">TOK_C_4</t>
  </si>
  <si>
    <t xml:space="preserve">TOK_S_1</t>
  </si>
  <si>
    <t xml:space="preserve">TOK_S_2</t>
  </si>
  <si>
    <t xml:space="preserve">TOK_T_1</t>
  </si>
  <si>
    <t xml:space="preserve">TOK_T_2</t>
  </si>
  <si>
    <t xml:space="preserve">TOK_T_3</t>
  </si>
  <si>
    <t xml:space="preserve">TOK_T_4</t>
  </si>
  <si>
    <t xml:space="preserve">V1_1_2</t>
  </si>
  <si>
    <t xml:space="preserve">V1_2_2</t>
  </si>
  <si>
    <t xml:space="preserve">V1_3_5</t>
  </si>
  <si>
    <t xml:space="preserve">V2_1_2</t>
  </si>
  <si>
    <t xml:space="preserve">V2_2_2</t>
  </si>
  <si>
    <t xml:space="preserve">V2_3_5</t>
  </si>
  <si>
    <t xml:space="preserve">C1_D1_4</t>
  </si>
  <si>
    <t xml:space="preserve">C1_D2_6</t>
  </si>
  <si>
    <t xml:space="preserve">C1_D3_3</t>
  </si>
  <si>
    <t xml:space="preserve">C1_D3_6</t>
  </si>
  <si>
    <t xml:space="preserve">C1_D4_5</t>
  </si>
  <si>
    <t xml:space="preserve">C1_L1_4</t>
  </si>
  <si>
    <t xml:space="preserve">C1_L3_2</t>
  </si>
  <si>
    <t xml:space="preserve">C2_D1_4</t>
  </si>
  <si>
    <t xml:space="preserve">C2_D2_5</t>
  </si>
  <si>
    <t xml:space="preserve">C2_D3_3</t>
  </si>
  <si>
    <t xml:space="preserve">C2_D3_6</t>
  </si>
  <si>
    <t xml:space="preserve">C2_D4_3</t>
  </si>
  <si>
    <t xml:space="preserve">C2_L1_5</t>
  </si>
  <si>
    <t xml:space="preserve">C2_L3_2</t>
  </si>
  <si>
    <t xml:space="preserve">C3_D2_4</t>
  </si>
  <si>
    <t xml:space="preserve">C3_D3_3</t>
  </si>
  <si>
    <t xml:space="preserve">C3_D3_6</t>
  </si>
  <si>
    <t xml:space="preserve">C3_D4_7</t>
  </si>
  <si>
    <t xml:space="preserve">C3_D5_4</t>
  </si>
  <si>
    <t xml:space="preserve">C3_L1_2</t>
  </si>
  <si>
    <t xml:space="preserve">C3_L2_3</t>
  </si>
  <si>
    <t xml:space="preserve">C3_L3_1</t>
  </si>
  <si>
    <t xml:space="preserve">C4_D1_2</t>
  </si>
  <si>
    <t xml:space="preserve">C4_D2_3</t>
  </si>
  <si>
    <t xml:space="preserve">C4_D3_3</t>
  </si>
  <si>
    <t xml:space="preserve">C4_D3_4</t>
  </si>
  <si>
    <t xml:space="preserve">C4_D4_5</t>
  </si>
  <si>
    <t xml:space="preserve">C4_D5_4</t>
  </si>
  <si>
    <t xml:space="preserve">C4_L1_2</t>
  </si>
  <si>
    <t xml:space="preserve">C4_L2_4</t>
  </si>
  <si>
    <t xml:space="preserve">C4_L3_4</t>
  </si>
  <si>
    <t xml:space="preserve">C5_D2_8</t>
  </si>
  <si>
    <t xml:space="preserve">C5_D3_8</t>
  </si>
  <si>
    <t xml:space="preserve">C5_D4_10</t>
  </si>
  <si>
    <t xml:space="preserve">C5_D5_5</t>
  </si>
  <si>
    <t xml:space="preserve">C5_L1_6</t>
  </si>
  <si>
    <t xml:space="preserve">C5_L2_4</t>
  </si>
  <si>
    <t xml:space="preserve">F1_3</t>
  </si>
  <si>
    <t xml:space="preserve">F2_3</t>
  </si>
  <si>
    <t xml:space="preserve">G1_4</t>
  </si>
  <si>
    <t xml:space="preserve">G3_4</t>
  </si>
  <si>
    <t xml:space="preserve">G7_4</t>
  </si>
  <si>
    <t xml:space="preserve">P0A_4</t>
  </si>
  <si>
    <t xml:space="preserve">P0C_2</t>
  </si>
  <si>
    <t xml:space="preserve">S10_2</t>
  </si>
  <si>
    <t xml:space="preserve">S4_2</t>
  </si>
  <si>
    <t xml:space="preserve">S5_4</t>
  </si>
  <si>
    <t xml:space="preserve">S6_1</t>
  </si>
  <si>
    <t xml:space="preserve">S7_4</t>
  </si>
  <si>
    <t xml:space="preserve">S8_1</t>
  </si>
  <si>
    <t xml:space="preserve">TOK_S_3</t>
  </si>
  <si>
    <t xml:space="preserve">TOK_S_4</t>
  </si>
  <si>
    <t xml:space="preserve">V1_2_3</t>
  </si>
  <si>
    <t xml:space="preserve">V1_3_3</t>
  </si>
  <si>
    <t xml:space="preserve">V2_2_3</t>
  </si>
  <si>
    <t xml:space="preserve">V2_3_4</t>
  </si>
  <si>
    <t xml:space="preserve">C1_D1_1</t>
  </si>
  <si>
    <t xml:space="preserve">C1_D3_7</t>
  </si>
  <si>
    <t xml:space="preserve">C1_D4_4</t>
  </si>
  <si>
    <t xml:space="preserve">C1_D5_6</t>
  </si>
  <si>
    <t xml:space="preserve">C1_L2_4</t>
  </si>
  <si>
    <t xml:space="preserve">C2_D1_1</t>
  </si>
  <si>
    <t xml:space="preserve">C2_D2_2</t>
  </si>
  <si>
    <t xml:space="preserve">C2_D3_7</t>
  </si>
  <si>
    <t xml:space="preserve">C2_D5_6</t>
  </si>
  <si>
    <t xml:space="preserve">C2_L2_2</t>
  </si>
  <si>
    <t xml:space="preserve">C3_D1_3</t>
  </si>
  <si>
    <t xml:space="preserve">C3_D2_7</t>
  </si>
  <si>
    <t xml:space="preserve">C3_D3_8</t>
  </si>
  <si>
    <t xml:space="preserve">C3_D4_10</t>
  </si>
  <si>
    <t xml:space="preserve">C3_D5_7</t>
  </si>
  <si>
    <t xml:space="preserve">C3_L3_3</t>
  </si>
  <si>
    <t xml:space="preserve">C4_D2_7</t>
  </si>
  <si>
    <t xml:space="preserve">C4_D3_8</t>
  </si>
  <si>
    <t xml:space="preserve">C4_D4_10</t>
  </si>
  <si>
    <t xml:space="preserve">C4_D5_7</t>
  </si>
  <si>
    <t xml:space="preserve">C4_L3_3</t>
  </si>
  <si>
    <t xml:space="preserve">C5_D4_5</t>
  </si>
  <si>
    <t xml:space="preserve">C5_L3_3</t>
  </si>
  <si>
    <t xml:space="preserve">G2_5</t>
  </si>
  <si>
    <t xml:space="preserve">G5_5</t>
  </si>
  <si>
    <t xml:space="preserve">G7_5</t>
  </si>
  <si>
    <t xml:space="preserve">P0C_3</t>
  </si>
  <si>
    <t xml:space="preserve">S8_2</t>
  </si>
  <si>
    <t xml:space="preserve">V1_1_1</t>
  </si>
  <si>
    <t xml:space="preserve">V1_3_4</t>
  </si>
  <si>
    <t xml:space="preserve">C1_D2_8</t>
  </si>
  <si>
    <t xml:space="preserve">C1_D3_8</t>
  </si>
  <si>
    <t xml:space="preserve">C1_D4_10</t>
  </si>
  <si>
    <t xml:space="preserve">C2_D2_7</t>
  </si>
  <si>
    <t xml:space="preserve">C2_D4_10</t>
  </si>
  <si>
    <t xml:space="preserve">C3_D1_1</t>
  </si>
  <si>
    <t xml:space="preserve">C3_D2_2</t>
  </si>
  <si>
    <t xml:space="preserve">C3_D4_9</t>
  </si>
  <si>
    <t xml:space="preserve">C4_D2_2</t>
  </si>
  <si>
    <t xml:space="preserve">C4_D3_7</t>
  </si>
  <si>
    <t xml:space="preserve">C4_D4_9</t>
  </si>
  <si>
    <t xml:space="preserve">C4_D5_5</t>
  </si>
  <si>
    <t xml:space="preserve">C5_D3_7</t>
  </si>
  <si>
    <t xml:space="preserve">C5_D5_7</t>
  </si>
  <si>
    <t xml:space="preserve">C5_L2_3</t>
  </si>
  <si>
    <t xml:space="preserve">F1_2</t>
  </si>
  <si>
    <t xml:space="preserve">F2_4</t>
  </si>
  <si>
    <t xml:space="preserve">P0A_3</t>
  </si>
  <si>
    <t xml:space="preserve">P0B_1</t>
  </si>
  <si>
    <t xml:space="preserve">PROF_1</t>
  </si>
  <si>
    <t xml:space="preserve">S2_1</t>
  </si>
  <si>
    <t xml:space="preserve">S3_5</t>
  </si>
  <si>
    <t xml:space="preserve">S5_5</t>
  </si>
  <si>
    <t xml:space="preserve">S9_5</t>
  </si>
  <si>
    <t xml:space="preserve">C1_D1_2</t>
  </si>
  <si>
    <t xml:space="preserve">C1_D2_4</t>
  </si>
  <si>
    <t xml:space="preserve">C1_D5_4</t>
  </si>
  <si>
    <t xml:space="preserve">C2_D4_8</t>
  </si>
  <si>
    <t xml:space="preserve">C3_D5_5</t>
  </si>
  <si>
    <t xml:space="preserve">C4_D2_5</t>
  </si>
  <si>
    <t xml:space="preserve">G6_2</t>
  </si>
  <si>
    <t xml:space="preserve">TOK_T_5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</si>
</sst>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rgb="FFD9EAD3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4CCCC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26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4" customFormat="false" ht="26.8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26.85" hidden="false" customHeight="false" outlineLevel="0" collapsed="false">
      <c r="A6" s="2" t="s">
        <v>5</v>
      </c>
    </row>
    <row r="7" customFormat="false" ht="15" hidden="false" customHeight="false" outlineLevel="0" collapsed="false">
      <c r="A7" s="2" t="s">
        <v>6</v>
      </c>
    </row>
    <row r="8" customFormat="false" ht="26.85" hidden="false" customHeight="false" outlineLevel="0" collapsed="false">
      <c r="A8" s="2" t="s">
        <v>7</v>
      </c>
    </row>
    <row r="9" customFormat="false" ht="15" hidden="false" customHeight="false" outlineLevel="0" collapsed="false">
      <c r="A9" s="2" t="s">
        <v>8</v>
      </c>
    </row>
    <row r="10" customFormat="false" ht="15" hidden="false" customHeight="false" outlineLevel="0" collapsed="false">
      <c r="A10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6" min="4" style="0" width="1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4" min="10" style="0" width="10"/>
  </cols>
  <sheetData>
    <row r="1" customFormat="false" ht="39.55" hidden="false" customHeight="false" outlineLevel="0" collapsed="false">
      <c r="A1" s="3" t="s">
        <v>9</v>
      </c>
      <c r="B1" s="3" t="s">
        <v>10</v>
      </c>
      <c r="C1" s="3" t="s">
        <v>11</v>
      </c>
      <c r="D1" s="3" t="s">
        <v>12</v>
      </c>
      <c r="E1" s="3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3" t="s">
        <v>22</v>
      </c>
    </row>
    <row r="2" customFormat="false" ht="15" hidden="false" customHeight="false" outlineLevel="0" collapsed="false">
      <c r="A2" s="4" t="s">
        <v>23</v>
      </c>
      <c r="B2" s="4" t="n">
        <v>12</v>
      </c>
      <c r="C2" s="4" t="s">
        <v>24</v>
      </c>
      <c r="D2" s="4" t="n">
        <v>0.200671</v>
      </c>
      <c r="E2" s="4" t="n">
        <v>0.814249</v>
      </c>
      <c r="F2" s="4" t="n">
        <v>3.133476</v>
      </c>
      <c r="G2" s="4" t="n">
        <v>5</v>
      </c>
      <c r="H2" s="4" t="n">
        <v>0</v>
      </c>
      <c r="I2" s="4" t="n">
        <v>0</v>
      </c>
      <c r="J2" s="4" t="n">
        <f aca="false">-(Responses!$C$3*D2+Responses!$D$3*E2+Responses!$E$3*F2)/10</f>
        <v>-1.0326632</v>
      </c>
      <c r="K2" s="4" t="n">
        <f aca="false">-(Responses!$C$4*D2+Responses!$D$4*E2+Responses!$E$4*F2)/10</f>
        <v>-1.6192242</v>
      </c>
      <c r="L2" s="4" t="n">
        <f aca="false">-(Responses!$C$5*D2+Responses!$D$5*E2+Responses!$E$5*F2)/10</f>
        <v>-1.3259437</v>
      </c>
      <c r="M2" s="4" t="n">
        <f aca="false">-(Responses!$C$6*D2+Responses!$D$6*E2+Responses!$E$6*F2)/10</f>
        <v>-1.2645859</v>
      </c>
      <c r="N2" s="4" t="n">
        <f aca="false">-(Responses!$C$7*D2+Responses!$D$7*E2+Responses!$E$7*F2)/10</f>
        <v>-1.094021</v>
      </c>
    </row>
    <row r="3" customFormat="false" ht="15" hidden="false" customHeight="false" outlineLevel="0" collapsed="false">
      <c r="A3" s="4" t="s">
        <v>25</v>
      </c>
      <c r="B3" s="4" t="n">
        <v>12</v>
      </c>
      <c r="C3" s="4" t="s">
        <v>26</v>
      </c>
      <c r="D3" s="4" t="n">
        <v>0</v>
      </c>
      <c r="E3" s="4" t="n">
        <v>0.064489</v>
      </c>
      <c r="F3" s="4" t="n">
        <v>0.990652</v>
      </c>
      <c r="G3" s="4" t="n">
        <v>6</v>
      </c>
      <c r="H3" s="4" t="n">
        <v>1</v>
      </c>
      <c r="I3" s="4" t="n">
        <v>1</v>
      </c>
      <c r="J3" s="4" t="n">
        <f aca="false">-(Responses!$C$3*D3+Responses!$D$3*E3+Responses!$E$3*F3)/10</f>
        <v>-0.223926</v>
      </c>
      <c r="K3" s="4" t="n">
        <f aca="false">-(Responses!$C$4*D3+Responses!$D$4*E3+Responses!$E$4*F3)/10</f>
        <v>-0.4220564</v>
      </c>
      <c r="L3" s="4" t="n">
        <f aca="false">-(Responses!$C$5*D3+Responses!$D$5*E3+Responses!$E$5*F3)/10</f>
        <v>-0.3229912</v>
      </c>
      <c r="M3" s="4" t="n">
        <f aca="false">-(Responses!$C$6*D3+Responses!$D$6*E3+Responses!$E$6*F3)/10</f>
        <v>-0.3165423</v>
      </c>
      <c r="N3" s="4" t="n">
        <f aca="false">-(Responses!$C$7*D3+Responses!$D$7*E3+Responses!$E$7*F3)/10</f>
        <v>-0.2303749</v>
      </c>
    </row>
    <row r="4" customFormat="false" ht="15" hidden="false" customHeight="false" outlineLevel="0" collapsed="false">
      <c r="A4" s="4" t="s">
        <v>27</v>
      </c>
      <c r="B4" s="4" t="n">
        <v>12</v>
      </c>
      <c r="C4" s="4" t="s">
        <v>28</v>
      </c>
      <c r="D4" s="4" t="n">
        <v>0.002126</v>
      </c>
      <c r="E4" s="4" t="n">
        <v>0.061162</v>
      </c>
      <c r="F4" s="4" t="n">
        <v>1</v>
      </c>
      <c r="G4" s="4" t="n">
        <v>6</v>
      </c>
      <c r="H4" s="4" t="n">
        <v>1</v>
      </c>
      <c r="I4" s="4" t="n">
        <v>1</v>
      </c>
      <c r="J4" s="4" t="n">
        <f aca="false">-(Responses!$C$3*D4+Responses!$D$3*E4+Responses!$E$3*F4)/10</f>
        <v>-0.2253152</v>
      </c>
      <c r="K4" s="4" t="n">
        <f aca="false">-(Responses!$C$4*D4+Responses!$D$4*E4+Responses!$E$4*F4)/10</f>
        <v>-0.42489</v>
      </c>
      <c r="L4" s="4" t="n">
        <f aca="false">-(Responses!$C$5*D4+Responses!$D$5*E4+Responses!$E$5*F4)/10</f>
        <v>-0.3251026</v>
      </c>
      <c r="M4" s="4" t="n">
        <f aca="false">-(Responses!$C$6*D4+Responses!$D$6*E4+Responses!$E$6*F4)/10</f>
        <v>-0.319199</v>
      </c>
      <c r="N4" s="4" t="n">
        <f aca="false">-(Responses!$C$7*D4+Responses!$D$7*E4+Responses!$E$7*F4)/10</f>
        <v>-0.2312188</v>
      </c>
    </row>
    <row r="5" customFormat="false" ht="15" hidden="false" customHeight="false" outlineLevel="0" collapsed="false">
      <c r="A5" s="4" t="s">
        <v>29</v>
      </c>
      <c r="B5" s="4" t="n">
        <v>12</v>
      </c>
      <c r="C5" s="4" t="s">
        <v>30</v>
      </c>
      <c r="D5" s="4" t="n">
        <v>0.165642</v>
      </c>
      <c r="E5" s="4" t="n">
        <v>0</v>
      </c>
      <c r="F5" s="4" t="n">
        <v>0.107923</v>
      </c>
      <c r="G5" s="4" t="n">
        <v>7</v>
      </c>
      <c r="H5" s="4" t="n">
        <v>1</v>
      </c>
      <c r="I5" s="4" t="n">
        <v>1</v>
      </c>
      <c r="J5" s="4" t="n">
        <f aca="false">-(Responses!$C$3*D5+Responses!$D$3*E5+Responses!$E$3*F5)/10</f>
        <v>-0.0878414</v>
      </c>
      <c r="K5" s="4" t="n">
        <f aca="false">-(Responses!$C$4*D5+Responses!$D$4*E5+Responses!$E$4*F5)/10</f>
        <v>-0.0762976</v>
      </c>
      <c r="L5" s="4" t="n">
        <f aca="false">-(Responses!$C$5*D5+Responses!$D$5*E5+Responses!$E$5*F5)/10</f>
        <v>-0.0820695</v>
      </c>
      <c r="M5" s="4" t="n">
        <f aca="false">-(Responses!$C$6*D5+Responses!$D$6*E5+Responses!$E$6*F5)/10</f>
        <v>-0.0986337</v>
      </c>
      <c r="N5" s="4" t="n">
        <f aca="false">-(Responses!$C$7*D5+Responses!$D$7*E5+Responses!$E$7*F5)/10</f>
        <v>-0.0712772</v>
      </c>
    </row>
    <row r="6" customFormat="false" ht="15" hidden="false" customHeight="false" outlineLevel="0" collapsed="false">
      <c r="A6" s="4" t="s">
        <v>31</v>
      </c>
      <c r="B6" s="4" t="n">
        <v>12</v>
      </c>
      <c r="C6" s="4" t="s">
        <v>32</v>
      </c>
      <c r="D6" s="4" t="n">
        <v>0.434769</v>
      </c>
      <c r="E6" s="4" t="n">
        <v>0.296002</v>
      </c>
      <c r="F6" s="4" t="n">
        <v>0</v>
      </c>
      <c r="G6" s="4" t="n">
        <v>8</v>
      </c>
      <c r="H6" s="4" t="n">
        <v>1</v>
      </c>
      <c r="I6" s="4" t="n">
        <v>0</v>
      </c>
      <c r="J6" s="4" t="n">
        <f aca="false">-(Responses!$C$3*D6+Responses!$D$3*E6+Responses!$E$3*F6)/10</f>
        <v>-0.2923084</v>
      </c>
      <c r="K6" s="4" t="n">
        <f aca="false">-(Responses!$C$4*D6+Responses!$D$4*E6+Responses!$E$4*F6)/10</f>
        <v>-0.2053546</v>
      </c>
      <c r="L6" s="4" t="n">
        <f aca="false">-(Responses!$C$5*D6+Responses!$D$5*E6+Responses!$E$5*F6)/10</f>
        <v>-0.2488315</v>
      </c>
      <c r="M6" s="4" t="n">
        <f aca="false">-(Responses!$C$6*D6+Responses!$D$6*E6+Responses!$E$6*F6)/10</f>
        <v>-0.2627082</v>
      </c>
      <c r="N6" s="4" t="n">
        <f aca="false">-(Responses!$C$7*D6+Responses!$D$7*E6+Responses!$E$7*F6)/10</f>
        <v>-0.2784317</v>
      </c>
    </row>
    <row r="7" customFormat="false" ht="15" hidden="false" customHeight="false" outlineLevel="0" collapsed="false">
      <c r="A7" s="4" t="s">
        <v>33</v>
      </c>
      <c r="B7" s="4" t="n">
        <v>12</v>
      </c>
      <c r="C7" s="4" t="s">
        <v>34</v>
      </c>
      <c r="D7" s="4" t="n">
        <v>1</v>
      </c>
      <c r="E7" s="4" t="n">
        <v>1</v>
      </c>
      <c r="F7" s="4" t="n">
        <v>0</v>
      </c>
      <c r="G7" s="4" t="n">
        <v>10</v>
      </c>
      <c r="H7" s="4" t="n">
        <v>1</v>
      </c>
      <c r="I7" s="4" t="n">
        <v>0</v>
      </c>
      <c r="J7" s="4" t="n">
        <f aca="false">-(Responses!$C$3*D7+Responses!$D$3*E7+Responses!$E$3*F7)/10</f>
        <v>-0.8</v>
      </c>
      <c r="K7" s="4" t="n">
        <f aca="false">-(Responses!$C$4*D7+Responses!$D$4*E7+Responses!$E$4*F7)/10</f>
        <v>-0.6</v>
      </c>
      <c r="L7" s="4" t="n">
        <f aca="false">-(Responses!$C$5*D7+Responses!$D$5*E7+Responses!$E$5*F7)/10</f>
        <v>-0.7</v>
      </c>
      <c r="M7" s="4" t="n">
        <f aca="false">-(Responses!$C$6*D7+Responses!$D$6*E7+Responses!$E$6*F7)/10</f>
        <v>-0.7</v>
      </c>
      <c r="N7" s="4" t="n">
        <f aca="false">-(Responses!$C$7*D7+Responses!$D$7*E7+Responses!$E$7*F7)/10</f>
        <v>-0.8</v>
      </c>
    </row>
    <row r="8" customFormat="false" ht="15" hidden="false" customHeight="false" outlineLevel="0" collapsed="false">
      <c r="A8" s="4" t="s">
        <v>35</v>
      </c>
      <c r="B8" s="4" t="n">
        <v>14</v>
      </c>
      <c r="C8" s="4" t="s">
        <v>24</v>
      </c>
      <c r="D8" s="4" t="n">
        <v>0.180551</v>
      </c>
      <c r="E8" s="4" t="n">
        <v>0.603063</v>
      </c>
      <c r="F8" s="4" t="n">
        <v>1.299943</v>
      </c>
      <c r="G8" s="4" t="n">
        <v>6</v>
      </c>
      <c r="H8" s="4" t="n">
        <v>0</v>
      </c>
      <c r="I8" s="4" t="n">
        <v>0</v>
      </c>
      <c r="J8" s="4" t="n">
        <f aca="false">-(Responses!$C$3*D8+Responses!$D$3*E8+Responses!$E$3*F8)/10</f>
        <v>-0.5734342</v>
      </c>
      <c r="K8" s="4" t="n">
        <f aca="false">-(Responses!$C$4*D8+Responses!$D$4*E8+Responses!$E$4*F8)/10</f>
        <v>-0.7973126</v>
      </c>
      <c r="L8" s="4" t="n">
        <f aca="false">-(Responses!$C$5*D8+Responses!$D$5*E8+Responses!$E$5*F8)/10</f>
        <v>-0.6853734</v>
      </c>
      <c r="M8" s="4" t="n">
        <f aca="false">-(Responses!$C$6*D8+Responses!$D$6*E8+Responses!$E$6*F8)/10</f>
        <v>-0.6431222</v>
      </c>
      <c r="N8" s="4" t="n">
        <f aca="false">-(Responses!$C$7*D8+Responses!$D$7*E8+Responses!$E$7*F8)/10</f>
        <v>-0.6156854</v>
      </c>
    </row>
    <row r="9" customFormat="false" ht="15" hidden="false" customHeight="false" outlineLevel="0" collapsed="false">
      <c r="A9" s="4" t="s">
        <v>36</v>
      </c>
      <c r="B9" s="4" t="n">
        <v>14</v>
      </c>
      <c r="C9" s="4" t="s">
        <v>26</v>
      </c>
      <c r="D9" s="4" t="n">
        <v>0</v>
      </c>
      <c r="E9" s="4" t="n">
        <v>0.336489</v>
      </c>
      <c r="F9" s="4" t="n">
        <v>1</v>
      </c>
      <c r="G9" s="4" t="n">
        <v>6</v>
      </c>
      <c r="H9" s="4" t="n">
        <v>1</v>
      </c>
      <c r="I9" s="4" t="n">
        <v>1</v>
      </c>
      <c r="J9" s="4" t="n">
        <f aca="false">-(Responses!$C$3*D9+Responses!$D$3*E9+Responses!$E$3*F9)/10</f>
        <v>-0.3345956</v>
      </c>
      <c r="K9" s="4" t="n">
        <f aca="false">-(Responses!$C$4*D9+Responses!$D$4*E9+Responses!$E$4*F9)/10</f>
        <v>-0.5345956</v>
      </c>
      <c r="L9" s="4" t="n">
        <f aca="false">-(Responses!$C$5*D9+Responses!$D$5*E9+Responses!$E$5*F9)/10</f>
        <v>-0.4345956</v>
      </c>
      <c r="M9" s="4" t="n">
        <f aca="false">-(Responses!$C$6*D9+Responses!$D$6*E9+Responses!$E$6*F9)/10</f>
        <v>-0.4009467</v>
      </c>
      <c r="N9" s="4" t="n">
        <f aca="false">-(Responses!$C$7*D9+Responses!$D$7*E9+Responses!$E$7*F9)/10</f>
        <v>-0.3682445</v>
      </c>
    </row>
    <row r="10" customFormat="false" ht="15" hidden="false" customHeight="false" outlineLevel="0" collapsed="false">
      <c r="A10" s="4" t="s">
        <v>37</v>
      </c>
      <c r="B10" s="4" t="n">
        <v>14</v>
      </c>
      <c r="C10" s="4" t="s">
        <v>28</v>
      </c>
      <c r="D10" s="4" t="n">
        <v>0.003628</v>
      </c>
      <c r="E10" s="4" t="n">
        <v>0.325553</v>
      </c>
      <c r="F10" s="4" t="n">
        <v>0.983405</v>
      </c>
      <c r="G10" s="4" t="n">
        <v>6</v>
      </c>
      <c r="H10" s="4" t="n">
        <v>1</v>
      </c>
      <c r="I10" s="4" t="n">
        <v>0</v>
      </c>
      <c r="J10" s="4" t="n">
        <f aca="false">-(Responses!$C$3*D10+Responses!$D$3*E10+Responses!$E$3*F10)/10</f>
        <v>-0.3283534</v>
      </c>
      <c r="K10" s="4" t="n">
        <f aca="false">-(Responses!$C$4*D10+Responses!$D$4*E10+Responses!$E$4*F10)/10</f>
        <v>-0.5243088</v>
      </c>
      <c r="L10" s="4" t="n">
        <f aca="false">-(Responses!$C$5*D10+Responses!$D$5*E10+Responses!$E$5*F10)/10</f>
        <v>-0.4263311</v>
      </c>
      <c r="M10" s="4" t="n">
        <f aca="false">-(Responses!$C$6*D10+Responses!$D$6*E10+Responses!$E$6*F10)/10</f>
        <v>-0.3941386</v>
      </c>
      <c r="N10" s="4" t="n">
        <f aca="false">-(Responses!$C$7*D10+Responses!$D$7*E10+Responses!$E$7*F10)/10</f>
        <v>-0.3605459</v>
      </c>
    </row>
    <row r="11" customFormat="false" ht="15" hidden="false" customHeight="false" outlineLevel="0" collapsed="false">
      <c r="A11" s="4" t="s">
        <v>38</v>
      </c>
      <c r="B11" s="4" t="n">
        <v>14</v>
      </c>
      <c r="C11" s="4" t="s">
        <v>30</v>
      </c>
      <c r="D11" s="4" t="n">
        <v>0.015319</v>
      </c>
      <c r="E11" s="4" t="n">
        <v>0</v>
      </c>
      <c r="F11" s="4" t="n">
        <v>0.163883</v>
      </c>
      <c r="G11" s="4" t="n">
        <v>7</v>
      </c>
      <c r="H11" s="4" t="n">
        <v>1</v>
      </c>
      <c r="I11" s="4" t="n">
        <v>1</v>
      </c>
      <c r="J11" s="4" t="n">
        <f aca="false">-(Responses!$C$3*D11+Responses!$D$3*E11+Responses!$E$3*F11)/10</f>
        <v>-0.0389042</v>
      </c>
      <c r="K11" s="4" t="n">
        <f aca="false">-(Responses!$C$4*D11+Responses!$D$4*E11+Responses!$E$4*F11)/10</f>
        <v>-0.068617</v>
      </c>
      <c r="L11" s="4" t="n">
        <f aca="false">-(Responses!$C$5*D11+Responses!$D$5*E11+Responses!$E$5*F11)/10</f>
        <v>-0.0537606</v>
      </c>
      <c r="M11" s="4" t="n">
        <f aca="false">-(Responses!$C$6*D11+Responses!$D$6*E11+Responses!$E$6*F11)/10</f>
        <v>-0.0552925</v>
      </c>
      <c r="N11" s="4" t="n">
        <f aca="false">-(Responses!$C$7*D11+Responses!$D$7*E11+Responses!$E$7*F11)/10</f>
        <v>-0.0373723</v>
      </c>
    </row>
    <row r="12" customFormat="false" ht="15" hidden="false" customHeight="false" outlineLevel="0" collapsed="false">
      <c r="A12" s="4" t="s">
        <v>39</v>
      </c>
      <c r="B12" s="4" t="n">
        <v>14</v>
      </c>
      <c r="C12" s="4" t="s">
        <v>32</v>
      </c>
      <c r="D12" s="4" t="n">
        <v>0.234647</v>
      </c>
      <c r="E12" s="4" t="n">
        <v>0.152434</v>
      </c>
      <c r="F12" s="4" t="n">
        <v>0.010616</v>
      </c>
      <c r="G12" s="4" t="n">
        <v>8</v>
      </c>
      <c r="H12" s="4" t="n">
        <v>1</v>
      </c>
      <c r="I12" s="4" t="n">
        <v>0</v>
      </c>
      <c r="J12" s="4" t="n">
        <f aca="false">-(Responses!$C$3*D12+Responses!$D$3*E12+Responses!$E$3*F12)/10</f>
        <v>-0.1569556</v>
      </c>
      <c r="K12" s="4" t="n">
        <f aca="false">-(Responses!$C$4*D12+Responses!$D$4*E12+Responses!$E$4*F12)/10</f>
        <v>-0.1121494</v>
      </c>
      <c r="L12" s="4" t="n">
        <f aca="false">-(Responses!$C$5*D12+Responses!$D$5*E12+Responses!$E$5*F12)/10</f>
        <v>-0.1345525</v>
      </c>
      <c r="M12" s="4" t="n">
        <f aca="false">-(Responses!$C$6*D12+Responses!$D$6*E12+Responses!$E$6*F12)/10</f>
        <v>-0.1427738</v>
      </c>
      <c r="N12" s="4" t="n">
        <f aca="false">-(Responses!$C$7*D12+Responses!$D$7*E12+Responses!$E$7*F12)/10</f>
        <v>-0.1487343</v>
      </c>
    </row>
    <row r="13" customFormat="false" ht="15" hidden="false" customHeight="false" outlineLevel="0" collapsed="false">
      <c r="A13" s="4" t="s">
        <v>40</v>
      </c>
      <c r="B13" s="4" t="n">
        <v>14</v>
      </c>
      <c r="C13" s="4" t="s">
        <v>34</v>
      </c>
      <c r="D13" s="4" t="n">
        <v>0.488061</v>
      </c>
      <c r="E13" s="4" t="n">
        <v>0.428617</v>
      </c>
      <c r="F13" s="4" t="n">
        <v>0</v>
      </c>
      <c r="G13" s="4" t="n">
        <v>9</v>
      </c>
      <c r="H13" s="4" t="n">
        <v>1</v>
      </c>
      <c r="I13" s="4" t="n">
        <v>0</v>
      </c>
      <c r="J13" s="4" t="n">
        <f aca="false">-(Responses!$C$3*D13+Responses!$D$3*E13+Responses!$E$3*F13)/10</f>
        <v>-0.3666712</v>
      </c>
      <c r="K13" s="4" t="n">
        <f aca="false">-(Responses!$C$4*D13+Responses!$D$4*E13+Responses!$E$4*F13)/10</f>
        <v>-0.269059</v>
      </c>
      <c r="L13" s="4" t="n">
        <f aca="false">-(Responses!$C$5*D13+Responses!$D$5*E13+Responses!$E$5*F13)/10</f>
        <v>-0.3178651</v>
      </c>
      <c r="M13" s="4" t="n">
        <f aca="false">-(Responses!$C$6*D13+Responses!$D$6*E13+Responses!$E$6*F13)/10</f>
        <v>-0.3238095</v>
      </c>
      <c r="N13" s="4" t="n">
        <f aca="false">-(Responses!$C$7*D13+Responses!$D$7*E13+Responses!$E$7*F13)/10</f>
        <v>-0.3607268</v>
      </c>
    </row>
    <row r="14" customFormat="false" ht="15" hidden="false" customHeight="false" outlineLevel="0" collapsed="false">
      <c r="A14" s="4" t="s">
        <v>41</v>
      </c>
      <c r="B14" s="4" t="n">
        <v>14</v>
      </c>
      <c r="C14" s="4" t="s">
        <v>42</v>
      </c>
      <c r="D14" s="4" t="n">
        <v>1</v>
      </c>
      <c r="E14" s="4" t="n">
        <v>1</v>
      </c>
      <c r="F14" s="4" t="n">
        <v>0</v>
      </c>
      <c r="G14" s="4" t="n">
        <v>11</v>
      </c>
      <c r="H14" s="4" t="n">
        <v>1</v>
      </c>
      <c r="I14" s="4" t="n">
        <v>0</v>
      </c>
      <c r="J14" s="4" t="n">
        <f aca="false">-(Responses!$C$3*D14+Responses!$D$3*E14+Responses!$E$3*F14)/10</f>
        <v>-0.8</v>
      </c>
      <c r="K14" s="4" t="n">
        <f aca="false">-(Responses!$C$4*D14+Responses!$D$4*E14+Responses!$E$4*F14)/10</f>
        <v>-0.6</v>
      </c>
      <c r="L14" s="4" t="n">
        <f aca="false">-(Responses!$C$5*D14+Responses!$D$5*E14+Responses!$E$5*F14)/10</f>
        <v>-0.7</v>
      </c>
      <c r="M14" s="4" t="n">
        <f aca="false">-(Responses!$C$6*D14+Responses!$D$6*E14+Responses!$E$6*F14)/10</f>
        <v>-0.7</v>
      </c>
      <c r="N14" s="4" t="n">
        <f aca="false">-(Responses!$C$7*D14+Responses!$D$7*E14+Responses!$E$7*F14)/10</f>
        <v>-0.8</v>
      </c>
    </row>
    <row r="15" customFormat="false" ht="15" hidden="false" customHeight="false" outlineLevel="0" collapsed="false">
      <c r="A15" s="4" t="s">
        <v>43</v>
      </c>
      <c r="B15" s="4" t="n">
        <v>4</v>
      </c>
      <c r="C15" s="4" t="s">
        <v>24</v>
      </c>
      <c r="D15" s="4" t="n">
        <v>0.162787</v>
      </c>
      <c r="E15" s="4" t="n">
        <v>0.778337</v>
      </c>
      <c r="F15" s="4" t="n">
        <v>2.995116</v>
      </c>
      <c r="G15" s="4" t="n">
        <v>6</v>
      </c>
      <c r="H15" s="4" t="n">
        <v>0</v>
      </c>
      <c r="I15" s="4" t="n">
        <v>0</v>
      </c>
      <c r="J15" s="4" t="n">
        <f aca="false">-(Responses!$C$3*D15+Responses!$D$3*E15+Responses!$E$3*F15)/10</f>
        <v>-0.9754728</v>
      </c>
      <c r="K15" s="4" t="n">
        <f aca="false">-(Responses!$C$4*D15+Responses!$D$4*E15+Responses!$E$4*F15)/10</f>
        <v>-1.5419386</v>
      </c>
      <c r="L15" s="4" t="n">
        <f aca="false">-(Responses!$C$5*D15+Responses!$D$5*E15+Responses!$E$5*F15)/10</f>
        <v>-1.2587057</v>
      </c>
      <c r="M15" s="4" t="n">
        <f aca="false">-(Responses!$C$6*D15+Responses!$D$6*E15+Responses!$E$6*F15)/10</f>
        <v>-1.1971507</v>
      </c>
      <c r="N15" s="4" t="n">
        <f aca="false">-(Responses!$C$7*D15+Responses!$D$7*E15+Responses!$E$7*F15)/10</f>
        <v>-1.0370278</v>
      </c>
    </row>
    <row r="16" customFormat="false" ht="15" hidden="false" customHeight="false" outlineLevel="0" collapsed="false">
      <c r="A16" s="4" t="s">
        <v>44</v>
      </c>
      <c r="B16" s="4" t="n">
        <v>4</v>
      </c>
      <c r="C16" s="4" t="s">
        <v>26</v>
      </c>
      <c r="D16" s="4" t="n">
        <v>0</v>
      </c>
      <c r="E16" s="4" t="n">
        <v>0.08791</v>
      </c>
      <c r="F16" s="4" t="n">
        <v>1</v>
      </c>
      <c r="G16" s="4" t="n">
        <v>7</v>
      </c>
      <c r="H16" s="4" t="n">
        <v>1</v>
      </c>
      <c r="I16" s="4" t="n">
        <v>1</v>
      </c>
      <c r="J16" s="4" t="n">
        <f aca="false">-(Responses!$C$3*D16+Responses!$D$3*E16+Responses!$E$3*F16)/10</f>
        <v>-0.235164</v>
      </c>
      <c r="K16" s="4" t="n">
        <f aca="false">-(Responses!$C$4*D16+Responses!$D$4*E16+Responses!$E$4*F16)/10</f>
        <v>-0.435164</v>
      </c>
      <c r="L16" s="4" t="n">
        <f aca="false">-(Responses!$C$5*D16+Responses!$D$5*E16+Responses!$E$5*F16)/10</f>
        <v>-0.335164</v>
      </c>
      <c r="M16" s="4" t="n">
        <f aca="false">-(Responses!$C$6*D16+Responses!$D$6*E16+Responses!$E$6*F16)/10</f>
        <v>-0.326373</v>
      </c>
      <c r="N16" s="4" t="n">
        <f aca="false">-(Responses!$C$7*D16+Responses!$D$7*E16+Responses!$E$7*F16)/10</f>
        <v>-0.243955</v>
      </c>
    </row>
    <row r="17" customFormat="false" ht="15" hidden="false" customHeight="false" outlineLevel="0" collapsed="false">
      <c r="A17" s="4" t="s">
        <v>45</v>
      </c>
      <c r="B17" s="4" t="n">
        <v>4</v>
      </c>
      <c r="C17" s="4" t="s">
        <v>28</v>
      </c>
      <c r="D17" s="4" t="n">
        <v>0.160748</v>
      </c>
      <c r="E17" s="4" t="n">
        <v>0</v>
      </c>
      <c r="F17" s="4" t="n">
        <v>0.091912</v>
      </c>
      <c r="G17" s="4" t="n">
        <v>8</v>
      </c>
      <c r="H17" s="4" t="n">
        <v>1</v>
      </c>
      <c r="I17" s="4" t="n">
        <v>1</v>
      </c>
      <c r="J17" s="4" t="n">
        <f aca="false">-(Responses!$C$3*D17+Responses!$D$3*E17+Responses!$E$3*F17)/10</f>
        <v>-0.0826816</v>
      </c>
      <c r="K17" s="4" t="n">
        <f aca="false">-(Responses!$C$4*D17+Responses!$D$4*E17+Responses!$E$4*F17)/10</f>
        <v>-0.0689144</v>
      </c>
      <c r="L17" s="4" t="n">
        <f aca="false">-(Responses!$C$5*D17+Responses!$D$5*E17+Responses!$E$5*F17)/10</f>
        <v>-0.075798</v>
      </c>
      <c r="M17" s="4" t="n">
        <f aca="false">-(Responses!$C$6*D17+Responses!$D$6*E17+Responses!$E$6*F17)/10</f>
        <v>-0.0918728</v>
      </c>
      <c r="N17" s="4" t="n">
        <f aca="false">-(Responses!$C$7*D17+Responses!$D$7*E17+Responses!$E$7*F17)/10</f>
        <v>-0.0666068</v>
      </c>
    </row>
    <row r="18" customFormat="false" ht="15" hidden="false" customHeight="false" outlineLevel="0" collapsed="false">
      <c r="A18" s="4" t="s">
        <v>46</v>
      </c>
      <c r="B18" s="4" t="n">
        <v>4</v>
      </c>
      <c r="C18" s="4" t="s">
        <v>30</v>
      </c>
      <c r="D18" s="4" t="n">
        <v>0.429379</v>
      </c>
      <c r="E18" s="4" t="n">
        <v>0.295413</v>
      </c>
      <c r="F18" s="4" t="n">
        <v>0.002996</v>
      </c>
      <c r="G18" s="4" t="n">
        <v>9</v>
      </c>
      <c r="H18" s="4" t="n">
        <v>1</v>
      </c>
      <c r="I18" s="4" t="n">
        <v>0</v>
      </c>
      <c r="J18" s="4" t="n">
        <f aca="false">-(Responses!$C$3*D18+Responses!$D$3*E18+Responses!$E$3*F18)/10</f>
        <v>-0.290516</v>
      </c>
      <c r="K18" s="4" t="n">
        <f aca="false">-(Responses!$C$4*D18+Responses!$D$4*E18+Responses!$E$4*F18)/10</f>
        <v>-0.2052394</v>
      </c>
      <c r="L18" s="4" t="n">
        <f aca="false">-(Responses!$C$5*D18+Responses!$D$5*E18+Responses!$E$5*F18)/10</f>
        <v>-0.2478777</v>
      </c>
      <c r="M18" s="4" t="n">
        <f aca="false">-(Responses!$C$6*D18+Responses!$D$6*E18+Responses!$E$6*F18)/10</f>
        <v>-0.2612743</v>
      </c>
      <c r="N18" s="4" t="n">
        <f aca="false">-(Responses!$C$7*D18+Responses!$D$7*E18+Responses!$E$7*F18)/10</f>
        <v>-0.2771194</v>
      </c>
    </row>
    <row r="19" customFormat="false" ht="15" hidden="false" customHeight="false" outlineLevel="0" collapsed="false">
      <c r="A19" s="4" t="s">
        <v>47</v>
      </c>
      <c r="B19" s="4" t="n">
        <v>4</v>
      </c>
      <c r="C19" s="4" t="s">
        <v>32</v>
      </c>
      <c r="D19" s="4" t="n">
        <v>0.714478</v>
      </c>
      <c r="E19" s="4" t="n">
        <v>0.646833</v>
      </c>
      <c r="F19" s="4" t="n">
        <v>0</v>
      </c>
      <c r="G19" s="4" t="n">
        <v>10</v>
      </c>
      <c r="H19" s="4" t="n">
        <v>1</v>
      </c>
      <c r="I19" s="4" t="n">
        <v>0</v>
      </c>
      <c r="J19" s="4" t="n">
        <f aca="false">-(Responses!$C$3*D19+Responses!$D$3*E19+Responses!$E$3*F19)/10</f>
        <v>-0.5445244</v>
      </c>
      <c r="K19" s="4" t="n">
        <f aca="false">-(Responses!$C$4*D19+Responses!$D$4*E19+Responses!$E$4*F19)/10</f>
        <v>-0.4016288</v>
      </c>
      <c r="L19" s="4" t="n">
        <f aca="false">-(Responses!$C$5*D19+Responses!$D$5*E19+Responses!$E$5*F19)/10</f>
        <v>-0.4730766</v>
      </c>
      <c r="M19" s="4" t="n">
        <f aca="false">-(Responses!$C$6*D19+Responses!$D$6*E19+Responses!$E$6*F19)/10</f>
        <v>-0.4798411</v>
      </c>
      <c r="N19" s="4" t="n">
        <f aca="false">-(Responses!$C$7*D19+Responses!$D$7*E19+Responses!$E$7*F19)/10</f>
        <v>-0.5377599</v>
      </c>
    </row>
    <row r="20" customFormat="false" ht="15" hidden="false" customHeight="false" outlineLevel="0" collapsed="false">
      <c r="A20" s="4" t="s">
        <v>48</v>
      </c>
      <c r="B20" s="4" t="n">
        <v>4</v>
      </c>
      <c r="C20" s="4" t="s">
        <v>34</v>
      </c>
      <c r="D20" s="4" t="n">
        <v>1</v>
      </c>
      <c r="E20" s="4" t="n">
        <v>1</v>
      </c>
      <c r="F20" s="4" t="n">
        <v>0</v>
      </c>
      <c r="G20" s="4" t="n">
        <v>11</v>
      </c>
      <c r="H20" s="4" t="n">
        <v>1</v>
      </c>
      <c r="I20" s="4" t="n">
        <v>0</v>
      </c>
      <c r="J20" s="4" t="n">
        <f aca="false">-(Responses!$C$3*D20+Responses!$D$3*E20+Responses!$E$3*F20)/10</f>
        <v>-0.8</v>
      </c>
      <c r="K20" s="4" t="n">
        <f aca="false">-(Responses!$C$4*D20+Responses!$D$4*E20+Responses!$E$4*F20)/10</f>
        <v>-0.6</v>
      </c>
      <c r="L20" s="4" t="n">
        <f aca="false">-(Responses!$C$5*D20+Responses!$D$5*E20+Responses!$E$5*F20)/10</f>
        <v>-0.7</v>
      </c>
      <c r="M20" s="4" t="n">
        <f aca="false">-(Responses!$C$6*D20+Responses!$D$6*E20+Responses!$E$6*F20)/10</f>
        <v>-0.7</v>
      </c>
      <c r="N20" s="4" t="n">
        <f aca="false">-(Responses!$C$7*D20+Responses!$D$7*E20+Responses!$E$7*F20)/10</f>
        <v>-0.8</v>
      </c>
    </row>
    <row r="21" customFormat="false" ht="15" hidden="false" customHeight="false" outlineLevel="0" collapsed="false">
      <c r="A21" s="4" t="s">
        <v>49</v>
      </c>
      <c r="B21" s="4" t="n">
        <v>9</v>
      </c>
      <c r="C21" s="4" t="s">
        <v>24</v>
      </c>
      <c r="D21" s="4" t="n">
        <v>0.584681</v>
      </c>
      <c r="E21" s="4" t="n">
        <v>1.887675</v>
      </c>
      <c r="F21" s="4" t="n">
        <v>1.380814</v>
      </c>
      <c r="G21" s="4" t="n">
        <v>6</v>
      </c>
      <c r="H21" s="4" t="n">
        <v>0</v>
      </c>
      <c r="I21" s="4" t="n">
        <v>0</v>
      </c>
      <c r="J21" s="4" t="n">
        <f aca="false">-(Responses!$C$3*D21+Responses!$D$3*E21+Responses!$E$3*F21)/10</f>
        <v>-1.2651052</v>
      </c>
      <c r="K21" s="4" t="n">
        <f aca="false">-(Responses!$C$4*D21+Responses!$D$4*E21+Responses!$E$4*F21)/10</f>
        <v>-1.4243318</v>
      </c>
      <c r="L21" s="4" t="n">
        <f aca="false">-(Responses!$C$5*D21+Responses!$D$5*E21+Responses!$E$5*F21)/10</f>
        <v>-1.3447185</v>
      </c>
      <c r="M21" s="4" t="n">
        <f aca="false">-(Responses!$C$6*D21+Responses!$D$6*E21+Responses!$E$6*F21)/10</f>
        <v>-1.2144191</v>
      </c>
      <c r="N21" s="4" t="n">
        <f aca="false">-(Responses!$C$7*D21+Responses!$D$7*E21+Responses!$E$7*F21)/10</f>
        <v>-1.3954046</v>
      </c>
    </row>
    <row r="22" customFormat="false" ht="15" hidden="false" customHeight="false" outlineLevel="0" collapsed="false">
      <c r="A22" s="4" t="s">
        <v>50</v>
      </c>
      <c r="B22" s="4" t="n">
        <v>9</v>
      </c>
      <c r="C22" s="4" t="s">
        <v>26</v>
      </c>
      <c r="D22" s="4" t="n">
        <v>0</v>
      </c>
      <c r="E22" s="4" t="n">
        <v>0.850876</v>
      </c>
      <c r="F22" s="4" t="n">
        <v>1</v>
      </c>
      <c r="G22" s="4" t="n">
        <v>6</v>
      </c>
      <c r="H22" s="4" t="n">
        <v>1</v>
      </c>
      <c r="I22" s="4" t="n">
        <v>1</v>
      </c>
      <c r="J22" s="4" t="n">
        <f aca="false">-(Responses!$C$3*D22+Responses!$D$3*E22+Responses!$E$3*F22)/10</f>
        <v>-0.5403504</v>
      </c>
      <c r="K22" s="4" t="n">
        <f aca="false">-(Responses!$C$4*D22+Responses!$D$4*E22+Responses!$E$4*F22)/10</f>
        <v>-0.7403504</v>
      </c>
      <c r="L22" s="4" t="n">
        <f aca="false">-(Responses!$C$5*D22+Responses!$D$5*E22+Responses!$E$5*F22)/10</f>
        <v>-0.6403504</v>
      </c>
      <c r="M22" s="4" t="n">
        <f aca="false">-(Responses!$C$6*D22+Responses!$D$6*E22+Responses!$E$6*F22)/10</f>
        <v>-0.5552628</v>
      </c>
      <c r="N22" s="4" t="n">
        <f aca="false">-(Responses!$C$7*D22+Responses!$D$7*E22+Responses!$E$7*F22)/10</f>
        <v>-0.625438</v>
      </c>
    </row>
    <row r="23" customFormat="false" ht="15" hidden="false" customHeight="false" outlineLevel="0" collapsed="false">
      <c r="A23" s="4" t="s">
        <v>51</v>
      </c>
      <c r="B23" s="4" t="n">
        <v>9</v>
      </c>
      <c r="C23" s="4" t="s">
        <v>28</v>
      </c>
      <c r="D23" s="4" t="n">
        <v>0.045408</v>
      </c>
      <c r="E23" s="4" t="n">
        <v>0.836803</v>
      </c>
      <c r="F23" s="4" t="n">
        <v>0.951886</v>
      </c>
      <c r="G23" s="4" t="n">
        <v>6</v>
      </c>
      <c r="H23" s="4" t="n">
        <v>1</v>
      </c>
      <c r="I23" s="4" t="n">
        <v>0</v>
      </c>
      <c r="J23" s="4" t="n">
        <f aca="false">-(Responses!$C$3*D23+Responses!$D$3*E23+Responses!$E$3*F23)/10</f>
        <v>-0.5432616</v>
      </c>
      <c r="K23" s="4" t="n">
        <f aca="false">-(Responses!$C$4*D23+Responses!$D$4*E23+Responses!$E$4*F23)/10</f>
        <v>-0.7245572</v>
      </c>
      <c r="L23" s="4" t="n">
        <f aca="false">-(Responses!$C$5*D23+Responses!$D$5*E23+Responses!$E$5*F23)/10</f>
        <v>-0.6339094</v>
      </c>
      <c r="M23" s="4" t="n">
        <f aca="false">-(Responses!$C$6*D23+Responses!$D$6*E23+Responses!$E$6*F23)/10</f>
        <v>-0.5547699</v>
      </c>
      <c r="N23" s="4" t="n">
        <f aca="false">-(Responses!$C$7*D23+Responses!$D$7*E23+Responses!$E$7*F23)/10</f>
        <v>-0.6224011</v>
      </c>
    </row>
    <row r="24" customFormat="false" ht="15" hidden="false" customHeight="false" outlineLevel="0" collapsed="false">
      <c r="A24" s="4" t="s">
        <v>52</v>
      </c>
      <c r="B24" s="4" t="n">
        <v>9</v>
      </c>
      <c r="C24" s="4" t="s">
        <v>30</v>
      </c>
      <c r="D24" s="4" t="n">
        <v>0.067683</v>
      </c>
      <c r="E24" s="4" t="n">
        <v>0</v>
      </c>
      <c r="F24" s="4" t="n">
        <v>0.181363</v>
      </c>
      <c r="G24" s="4" t="n">
        <v>7</v>
      </c>
      <c r="H24" s="4" t="n">
        <v>1</v>
      </c>
      <c r="I24" s="4" t="n">
        <v>1</v>
      </c>
      <c r="J24" s="4" t="n">
        <f aca="false">-(Responses!$C$3*D24+Responses!$D$3*E24+Responses!$E$3*F24)/10</f>
        <v>-0.0633458</v>
      </c>
      <c r="K24" s="4" t="n">
        <f aca="false">-(Responses!$C$4*D24+Responses!$D$4*E24+Responses!$E$4*F24)/10</f>
        <v>-0.0860818</v>
      </c>
      <c r="L24" s="4" t="n">
        <f aca="false">-(Responses!$C$5*D24+Responses!$D$5*E24+Responses!$E$5*F24)/10</f>
        <v>-0.0747138</v>
      </c>
      <c r="M24" s="4" t="n">
        <f aca="false">-(Responses!$C$6*D24+Responses!$D$6*E24+Responses!$E$6*F24)/10</f>
        <v>-0.0814821</v>
      </c>
      <c r="N24" s="4" t="n">
        <f aca="false">-(Responses!$C$7*D24+Responses!$D$7*E24+Responses!$E$7*F24)/10</f>
        <v>-0.0565775</v>
      </c>
    </row>
    <row r="25" customFormat="false" ht="15" hidden="false" customHeight="false" outlineLevel="0" collapsed="false">
      <c r="A25" s="4" t="s">
        <v>53</v>
      </c>
      <c r="B25" s="4" t="n">
        <v>9</v>
      </c>
      <c r="C25" s="4" t="s">
        <v>32</v>
      </c>
      <c r="D25" s="4" t="n">
        <v>0.497383</v>
      </c>
      <c r="E25" s="4" t="n">
        <v>0.321478</v>
      </c>
      <c r="F25" s="4" t="n">
        <v>0.004004</v>
      </c>
      <c r="G25" s="4" t="n">
        <v>8</v>
      </c>
      <c r="H25" s="4" t="n">
        <v>1</v>
      </c>
      <c r="I25" s="4" t="n">
        <v>0</v>
      </c>
      <c r="J25" s="4" t="n">
        <f aca="false">-(Responses!$C$3*D25+Responses!$D$3*E25+Responses!$E$3*F25)/10</f>
        <v>-0.3283452</v>
      </c>
      <c r="K25" s="4" t="n">
        <f aca="false">-(Responses!$C$4*D25+Responses!$D$4*E25+Responses!$E$4*F25)/10</f>
        <v>-0.2296694</v>
      </c>
      <c r="L25" s="4" t="n">
        <f aca="false">-(Responses!$C$5*D25+Responses!$D$5*E25+Responses!$E$5*F25)/10</f>
        <v>-0.2790073</v>
      </c>
      <c r="M25" s="4" t="n">
        <f aca="false">-(Responses!$C$6*D25+Responses!$D$6*E25+Responses!$E$6*F25)/10</f>
        <v>-0.2965978</v>
      </c>
      <c r="N25" s="4" t="n">
        <f aca="false">-(Responses!$C$7*D25+Responses!$D$7*E25+Responses!$E$7*F25)/10</f>
        <v>-0.3107547</v>
      </c>
    </row>
    <row r="26" customFormat="false" ht="15" hidden="false" customHeight="false" outlineLevel="0" collapsed="false">
      <c r="A26" s="4" t="s">
        <v>54</v>
      </c>
      <c r="B26" s="4" t="n">
        <v>9</v>
      </c>
      <c r="C26" s="4" t="s">
        <v>34</v>
      </c>
      <c r="D26" s="4" t="n">
        <v>1</v>
      </c>
      <c r="E26" s="4" t="n">
        <v>1</v>
      </c>
      <c r="F26" s="4" t="n">
        <v>0</v>
      </c>
      <c r="G26" s="4" t="n">
        <v>9</v>
      </c>
      <c r="H26" s="4" t="n">
        <v>1</v>
      </c>
      <c r="I26" s="4" t="n">
        <v>0</v>
      </c>
      <c r="J26" s="4" t="n">
        <f aca="false">-(Responses!$C$3*D26+Responses!$D$3*E26+Responses!$E$3*F26)/10</f>
        <v>-0.8</v>
      </c>
      <c r="K26" s="4" t="n">
        <f aca="false">-(Responses!$C$4*D26+Responses!$D$4*E26+Responses!$E$4*F26)/10</f>
        <v>-0.6</v>
      </c>
      <c r="L26" s="4" t="n">
        <f aca="false">-(Responses!$C$5*D26+Responses!$D$5*E26+Responses!$E$5*F26)/10</f>
        <v>-0.7</v>
      </c>
      <c r="M26" s="4" t="n">
        <f aca="false">-(Responses!$C$6*D26+Responses!$D$6*E26+Responses!$E$6*F26)/10</f>
        <v>-0.7</v>
      </c>
      <c r="N26" s="4" t="n">
        <f aca="false">-(Responses!$C$7*D26+Responses!$D$7*E26+Responses!$E$7*F26)/10</f>
        <v>-0.8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8"/>
    <col collapsed="false" customWidth="true" hidden="false" outlineLevel="0" max="3" min="3" style="0" width="6"/>
    <col collapsed="false" customWidth="true" hidden="false" outlineLevel="0" max="4" min="4" style="0" width="12"/>
  </cols>
  <sheetData>
    <row r="1" customFormat="false" ht="39.55" hidden="false" customHeight="false" outlineLevel="0" collapsed="false">
      <c r="A1" s="3" t="s">
        <v>55</v>
      </c>
      <c r="B1" s="3" t="s">
        <v>10</v>
      </c>
      <c r="C1" s="3" t="s">
        <v>56</v>
      </c>
      <c r="D1" s="3" t="s">
        <v>57</v>
      </c>
    </row>
    <row r="2" customFormat="false" ht="15" hidden="false" customHeight="false" outlineLevel="0" collapsed="false">
      <c r="A2" s="4" t="n">
        <v>1201</v>
      </c>
      <c r="B2" s="4" t="n">
        <v>12</v>
      </c>
      <c r="C2" s="4" t="n">
        <v>0.1</v>
      </c>
      <c r="D2" s="4" t="s">
        <v>26</v>
      </c>
    </row>
    <row r="3" customFormat="false" ht="15" hidden="false" customHeight="false" outlineLevel="0" collapsed="false">
      <c r="A3" s="4" t="n">
        <v>1202</v>
      </c>
      <c r="B3" s="4" t="n">
        <v>12</v>
      </c>
      <c r="C3" s="4" t="n">
        <v>0.2</v>
      </c>
      <c r="D3" s="4" t="s">
        <v>26</v>
      </c>
    </row>
    <row r="4" customFormat="false" ht="15" hidden="false" customHeight="false" outlineLevel="0" collapsed="false">
      <c r="A4" s="4" t="n">
        <v>1203</v>
      </c>
      <c r="B4" s="4" t="n">
        <v>12</v>
      </c>
      <c r="C4" s="4" t="n">
        <v>0.3</v>
      </c>
      <c r="D4" s="4" t="s">
        <v>26</v>
      </c>
    </row>
    <row r="5" customFormat="false" ht="15" hidden="false" customHeight="false" outlineLevel="0" collapsed="false">
      <c r="A5" s="4" t="n">
        <v>1204</v>
      </c>
      <c r="B5" s="4" t="n">
        <v>12</v>
      </c>
      <c r="C5" s="4" t="n">
        <v>0.4</v>
      </c>
      <c r="D5" s="4" t="s">
        <v>26</v>
      </c>
    </row>
    <row r="6" customFormat="false" ht="15" hidden="false" customHeight="false" outlineLevel="0" collapsed="false">
      <c r="A6" s="4" t="n">
        <v>1205</v>
      </c>
      <c r="B6" s="4" t="n">
        <v>12</v>
      </c>
      <c r="C6" s="4" t="n">
        <v>0.5</v>
      </c>
      <c r="D6" s="4" t="s">
        <v>26</v>
      </c>
    </row>
    <row r="7" customFormat="false" ht="15" hidden="false" customHeight="false" outlineLevel="0" collapsed="false">
      <c r="A7" s="4" t="n">
        <v>1206</v>
      </c>
      <c r="B7" s="4" t="n">
        <v>12</v>
      </c>
      <c r="C7" s="4" t="n">
        <v>0.6</v>
      </c>
      <c r="D7" s="4" t="s">
        <v>26</v>
      </c>
    </row>
    <row r="8" customFormat="false" ht="15" hidden="false" customHeight="false" outlineLevel="0" collapsed="false">
      <c r="A8" s="4" t="n">
        <v>1207</v>
      </c>
      <c r="B8" s="4" t="n">
        <v>12</v>
      </c>
      <c r="C8" s="4" t="n">
        <v>0.7</v>
      </c>
      <c r="D8" s="4" t="s">
        <v>28</v>
      </c>
    </row>
    <row r="9" customFormat="false" ht="15" hidden="false" customHeight="false" outlineLevel="0" collapsed="false">
      <c r="A9" s="4" t="n">
        <v>1208</v>
      </c>
      <c r="B9" s="4" t="n">
        <v>12</v>
      </c>
      <c r="C9" s="4" t="n">
        <v>0.8</v>
      </c>
      <c r="D9" s="4" t="s">
        <v>30</v>
      </c>
    </row>
    <row r="10" customFormat="false" ht="15" hidden="false" customHeight="false" outlineLevel="0" collapsed="false">
      <c r="A10" s="4" t="n">
        <v>1209</v>
      </c>
      <c r="B10" s="4" t="n">
        <v>12</v>
      </c>
      <c r="C10" s="4" t="n">
        <v>0.9</v>
      </c>
      <c r="D10" s="4" t="s">
        <v>30</v>
      </c>
    </row>
    <row r="11" customFormat="false" ht="15" hidden="false" customHeight="false" outlineLevel="0" collapsed="false">
      <c r="A11" s="4" t="n">
        <v>1401</v>
      </c>
      <c r="B11" s="4" t="n">
        <v>14</v>
      </c>
      <c r="C11" s="4" t="n">
        <v>0.1</v>
      </c>
      <c r="D11" s="4" t="s">
        <v>26</v>
      </c>
    </row>
    <row r="12" customFormat="false" ht="15" hidden="false" customHeight="false" outlineLevel="0" collapsed="false">
      <c r="A12" s="4" t="n">
        <v>1402</v>
      </c>
      <c r="B12" s="4" t="n">
        <v>14</v>
      </c>
      <c r="C12" s="4" t="n">
        <v>0.2</v>
      </c>
      <c r="D12" s="4" t="s">
        <v>26</v>
      </c>
    </row>
    <row r="13" customFormat="false" ht="15" hidden="false" customHeight="false" outlineLevel="0" collapsed="false">
      <c r="A13" s="4" t="n">
        <v>1403</v>
      </c>
      <c r="B13" s="4" t="n">
        <v>14</v>
      </c>
      <c r="C13" s="4" t="n">
        <v>0.3</v>
      </c>
      <c r="D13" s="4" t="s">
        <v>30</v>
      </c>
    </row>
    <row r="14" customFormat="false" ht="15" hidden="false" customHeight="false" outlineLevel="0" collapsed="false">
      <c r="A14" s="4" t="n">
        <v>1404</v>
      </c>
      <c r="B14" s="4" t="n">
        <v>14</v>
      </c>
      <c r="C14" s="4" t="n">
        <v>0.4</v>
      </c>
      <c r="D14" s="4" t="s">
        <v>30</v>
      </c>
    </row>
    <row r="15" customFormat="false" ht="15" hidden="false" customHeight="false" outlineLevel="0" collapsed="false">
      <c r="A15" s="4" t="n">
        <v>1405</v>
      </c>
      <c r="B15" s="4" t="n">
        <v>14</v>
      </c>
      <c r="C15" s="4" t="n">
        <v>0.5</v>
      </c>
      <c r="D15" s="4" t="s">
        <v>30</v>
      </c>
    </row>
    <row r="16" customFormat="false" ht="15" hidden="false" customHeight="false" outlineLevel="0" collapsed="false">
      <c r="A16" s="4" t="n">
        <v>1406</v>
      </c>
      <c r="B16" s="4" t="n">
        <v>14</v>
      </c>
      <c r="C16" s="4" t="n">
        <v>0.6</v>
      </c>
      <c r="D16" s="4" t="s">
        <v>30</v>
      </c>
    </row>
    <row r="17" customFormat="false" ht="15" hidden="false" customHeight="false" outlineLevel="0" collapsed="false">
      <c r="A17" s="4" t="n">
        <v>1407</v>
      </c>
      <c r="B17" s="4" t="n">
        <v>14</v>
      </c>
      <c r="C17" s="4" t="n">
        <v>0.7</v>
      </c>
      <c r="D17" s="4" t="s">
        <v>30</v>
      </c>
    </row>
    <row r="18" customFormat="false" ht="15" hidden="false" customHeight="false" outlineLevel="0" collapsed="false">
      <c r="A18" s="4" t="n">
        <v>1408</v>
      </c>
      <c r="B18" s="4" t="n">
        <v>14</v>
      </c>
      <c r="C18" s="4" t="n">
        <v>0.8</v>
      </c>
      <c r="D18" s="4" t="s">
        <v>30</v>
      </c>
    </row>
    <row r="19" customFormat="false" ht="15" hidden="false" customHeight="false" outlineLevel="0" collapsed="false">
      <c r="A19" s="4" t="n">
        <v>1409</v>
      </c>
      <c r="B19" s="4" t="n">
        <v>14</v>
      </c>
      <c r="C19" s="4" t="n">
        <v>0.9</v>
      </c>
      <c r="D19" s="4" t="s">
        <v>30</v>
      </c>
    </row>
    <row r="20" customFormat="false" ht="15" hidden="false" customHeight="false" outlineLevel="0" collapsed="false">
      <c r="A20" s="4" t="n">
        <v>401</v>
      </c>
      <c r="B20" s="4" t="n">
        <v>4</v>
      </c>
      <c r="C20" s="4" t="n">
        <v>0.1</v>
      </c>
      <c r="D20" s="4" t="s">
        <v>26</v>
      </c>
    </row>
    <row r="21" customFormat="false" ht="15" hidden="false" customHeight="false" outlineLevel="0" collapsed="false">
      <c r="A21" s="4" t="n">
        <v>402</v>
      </c>
      <c r="B21" s="4" t="n">
        <v>4</v>
      </c>
      <c r="C21" s="4" t="n">
        <v>0.2</v>
      </c>
      <c r="D21" s="4" t="s">
        <v>26</v>
      </c>
    </row>
    <row r="22" customFormat="false" ht="15" hidden="false" customHeight="false" outlineLevel="0" collapsed="false">
      <c r="A22" s="4" t="n">
        <v>403</v>
      </c>
      <c r="B22" s="4" t="n">
        <v>4</v>
      </c>
      <c r="C22" s="4" t="n">
        <v>0.3</v>
      </c>
      <c r="D22" s="4" t="s">
        <v>26</v>
      </c>
    </row>
    <row r="23" customFormat="false" ht="15" hidden="false" customHeight="false" outlineLevel="0" collapsed="false">
      <c r="A23" s="4" t="n">
        <v>404</v>
      </c>
      <c r="B23" s="4" t="n">
        <v>4</v>
      </c>
      <c r="C23" s="4" t="n">
        <v>0.4</v>
      </c>
      <c r="D23" s="4" t="s">
        <v>26</v>
      </c>
    </row>
    <row r="24" customFormat="false" ht="15" hidden="false" customHeight="false" outlineLevel="0" collapsed="false">
      <c r="A24" s="4" t="n">
        <v>405</v>
      </c>
      <c r="B24" s="4" t="n">
        <v>4</v>
      </c>
      <c r="C24" s="4" t="n">
        <v>0.5</v>
      </c>
      <c r="D24" s="4" t="s">
        <v>26</v>
      </c>
    </row>
    <row r="25" customFormat="false" ht="15" hidden="false" customHeight="false" outlineLevel="0" collapsed="false">
      <c r="A25" s="4" t="n">
        <v>406</v>
      </c>
      <c r="B25" s="4" t="n">
        <v>4</v>
      </c>
      <c r="C25" s="4" t="n">
        <v>0.6</v>
      </c>
      <c r="D25" s="4" t="s">
        <v>26</v>
      </c>
    </row>
    <row r="26" customFormat="false" ht="15" hidden="false" customHeight="false" outlineLevel="0" collapsed="false">
      <c r="A26" s="4" t="n">
        <v>407</v>
      </c>
      <c r="B26" s="4" t="n">
        <v>4</v>
      </c>
      <c r="C26" s="4" t="n">
        <v>0.7</v>
      </c>
      <c r="D26" s="4" t="s">
        <v>28</v>
      </c>
    </row>
    <row r="27" customFormat="false" ht="15" hidden="false" customHeight="false" outlineLevel="0" collapsed="false">
      <c r="A27" s="4" t="n">
        <v>408</v>
      </c>
      <c r="B27" s="4" t="n">
        <v>4</v>
      </c>
      <c r="C27" s="4" t="n">
        <v>0.8</v>
      </c>
      <c r="D27" s="4" t="s">
        <v>28</v>
      </c>
    </row>
    <row r="28" customFormat="false" ht="15" hidden="false" customHeight="false" outlineLevel="0" collapsed="false">
      <c r="A28" s="4" t="n">
        <v>409</v>
      </c>
      <c r="B28" s="4" t="n">
        <v>4</v>
      </c>
      <c r="C28" s="4" t="n">
        <v>0.9</v>
      </c>
      <c r="D28" s="4" t="s">
        <v>28</v>
      </c>
    </row>
    <row r="29" customFormat="false" ht="15" hidden="false" customHeight="false" outlineLevel="0" collapsed="false">
      <c r="A29" s="4" t="n">
        <v>901</v>
      </c>
      <c r="B29" s="4" t="n">
        <v>9</v>
      </c>
      <c r="C29" s="4" t="n">
        <v>0.1</v>
      </c>
      <c r="D29" s="4" t="s">
        <v>26</v>
      </c>
    </row>
    <row r="30" customFormat="false" ht="15" hidden="false" customHeight="false" outlineLevel="0" collapsed="false">
      <c r="A30" s="4" t="n">
        <v>902</v>
      </c>
      <c r="B30" s="4" t="n">
        <v>9</v>
      </c>
      <c r="C30" s="4" t="n">
        <v>0.2</v>
      </c>
      <c r="D30" s="4" t="s">
        <v>26</v>
      </c>
    </row>
    <row r="31" customFormat="false" ht="15" hidden="false" customHeight="false" outlineLevel="0" collapsed="false">
      <c r="A31" s="4" t="n">
        <v>903</v>
      </c>
      <c r="B31" s="4" t="n">
        <v>9</v>
      </c>
      <c r="C31" s="4" t="n">
        <v>0.3</v>
      </c>
      <c r="D31" s="4" t="s">
        <v>26</v>
      </c>
    </row>
    <row r="32" customFormat="false" ht="15" hidden="false" customHeight="false" outlineLevel="0" collapsed="false">
      <c r="A32" s="4" t="n">
        <v>904</v>
      </c>
      <c r="B32" s="4" t="n">
        <v>9</v>
      </c>
      <c r="C32" s="4" t="n">
        <v>0.4</v>
      </c>
      <c r="D32" s="4" t="s">
        <v>30</v>
      </c>
    </row>
    <row r="33" customFormat="false" ht="15" hidden="false" customHeight="false" outlineLevel="0" collapsed="false">
      <c r="A33" s="4" t="n">
        <v>905</v>
      </c>
      <c r="B33" s="4" t="n">
        <v>9</v>
      </c>
      <c r="C33" s="4" t="n">
        <v>0.5</v>
      </c>
      <c r="D33" s="4" t="s">
        <v>30</v>
      </c>
    </row>
    <row r="34" customFormat="false" ht="15" hidden="false" customHeight="false" outlineLevel="0" collapsed="false">
      <c r="A34" s="4" t="n">
        <v>906</v>
      </c>
      <c r="B34" s="4" t="n">
        <v>9</v>
      </c>
      <c r="C34" s="4" t="n">
        <v>0.6</v>
      </c>
      <c r="D34" s="4" t="s">
        <v>30</v>
      </c>
    </row>
    <row r="35" customFormat="false" ht="15" hidden="false" customHeight="false" outlineLevel="0" collapsed="false">
      <c r="A35" s="4" t="n">
        <v>907</v>
      </c>
      <c r="B35" s="4" t="n">
        <v>9</v>
      </c>
      <c r="C35" s="4" t="n">
        <v>0.7</v>
      </c>
      <c r="D35" s="4" t="s">
        <v>30</v>
      </c>
    </row>
    <row r="36" customFormat="false" ht="15" hidden="false" customHeight="false" outlineLevel="0" collapsed="false">
      <c r="A36" s="4" t="n">
        <v>908</v>
      </c>
      <c r="B36" s="4" t="n">
        <v>9</v>
      </c>
      <c r="C36" s="4" t="n">
        <v>0.8</v>
      </c>
      <c r="D36" s="4" t="s">
        <v>30</v>
      </c>
    </row>
    <row r="37" customFormat="false" ht="15" hidden="false" customHeight="false" outlineLevel="0" collapsed="false">
      <c r="A37" s="4" t="n">
        <v>909</v>
      </c>
      <c r="B37" s="4" t="n">
        <v>9</v>
      </c>
      <c r="C37" s="4" t="n">
        <v>0.9</v>
      </c>
      <c r="D37" s="4" t="s">
        <v>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6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7" min="5" style="0" width="9"/>
    <col collapsed="false" customWidth="true" hidden="false" outlineLevel="0" max="8" min="8" style="0" width="50"/>
  </cols>
  <sheetData>
    <row r="1" customFormat="false" ht="26.85" hidden="false" customHeight="false" outlineLevel="0" collapsed="false">
      <c r="A1" s="3" t="s">
        <v>58</v>
      </c>
      <c r="B1" s="3" t="s">
        <v>59</v>
      </c>
      <c r="C1" s="3" t="s">
        <v>10</v>
      </c>
      <c r="D1" s="3" t="s">
        <v>60</v>
      </c>
      <c r="E1" s="3" t="s">
        <v>61</v>
      </c>
      <c r="F1" s="3" t="s">
        <v>62</v>
      </c>
      <c r="G1" s="3" t="s">
        <v>63</v>
      </c>
      <c r="H1" s="3" t="s">
        <v>64</v>
      </c>
    </row>
    <row r="2" customFormat="false" ht="15" hidden="false" customHeight="false" outlineLevel="0" collapsed="false">
      <c r="A2" s="4" t="s">
        <v>65</v>
      </c>
      <c r="B2" s="4" t="n">
        <v>1</v>
      </c>
      <c r="C2" s="4" t="n">
        <v>12</v>
      </c>
      <c r="D2" s="4" t="s">
        <v>26</v>
      </c>
      <c r="E2" s="4" t="n">
        <v>2</v>
      </c>
      <c r="F2" s="4" t="n">
        <v>4</v>
      </c>
      <c r="G2" s="4" t="n">
        <v>1</v>
      </c>
      <c r="H2" s="4"/>
    </row>
    <row r="3" customFormat="false" ht="15" hidden="false" customHeight="false" outlineLevel="0" collapsed="false">
      <c r="A3" s="4" t="s">
        <v>65</v>
      </c>
      <c r="B3" s="4" t="n">
        <v>2</v>
      </c>
      <c r="C3" s="4" t="n">
        <v>14</v>
      </c>
      <c r="D3" s="4" t="s">
        <v>26</v>
      </c>
      <c r="E3" s="4" t="n">
        <v>2</v>
      </c>
      <c r="F3" s="4" t="n">
        <v>2</v>
      </c>
      <c r="G3" s="4" t="n">
        <v>4</v>
      </c>
      <c r="H3" s="4"/>
    </row>
    <row r="4" customFormat="false" ht="15" hidden="false" customHeight="false" outlineLevel="0" collapsed="false">
      <c r="A4" s="4" t="s">
        <v>65</v>
      </c>
      <c r="B4" s="4" t="n">
        <v>3</v>
      </c>
      <c r="C4" s="4" t="n">
        <v>4</v>
      </c>
      <c r="D4" s="4" t="s">
        <v>28</v>
      </c>
      <c r="E4" s="4" t="n">
        <v>3</v>
      </c>
      <c r="F4" s="4" t="n">
        <v>2</v>
      </c>
      <c r="G4" s="4" t="n">
        <v>2</v>
      </c>
      <c r="H4" s="4"/>
    </row>
    <row r="5" customFormat="false" ht="15" hidden="false" customHeight="false" outlineLevel="0" collapsed="false">
      <c r="A5" s="4" t="s">
        <v>65</v>
      </c>
      <c r="B5" s="4" t="n">
        <v>4</v>
      </c>
      <c r="C5" s="4" t="n">
        <v>9</v>
      </c>
      <c r="D5" s="4" t="s">
        <v>28</v>
      </c>
      <c r="E5" s="4" t="n">
        <v>4</v>
      </c>
      <c r="F5" s="4" t="n">
        <v>3</v>
      </c>
      <c r="G5" s="4" t="n">
        <v>2</v>
      </c>
      <c r="H5" s="4"/>
    </row>
    <row r="6" customFormat="false" ht="15" hidden="false" customHeight="false" outlineLevel="0" collapsed="false">
      <c r="A6" s="4" t="s">
        <v>65</v>
      </c>
      <c r="B6" s="4" t="n">
        <v>5</v>
      </c>
      <c r="C6" s="4" t="n">
        <v>4</v>
      </c>
      <c r="D6" s="4" t="s">
        <v>66</v>
      </c>
      <c r="E6" s="4" t="n">
        <v>6</v>
      </c>
      <c r="F6" s="4" t="n">
        <v>5</v>
      </c>
      <c r="G6" s="4" t="n">
        <v>2</v>
      </c>
      <c r="H6" s="4" t="s">
        <v>67</v>
      </c>
    </row>
    <row r="7" customFormat="false" ht="15" hidden="false" customHeight="false" outlineLevel="0" collapsed="false">
      <c r="A7" s="4" t="s">
        <v>68</v>
      </c>
      <c r="B7" s="4" t="n">
        <v>1</v>
      </c>
      <c r="C7" s="4" t="n">
        <v>12</v>
      </c>
      <c r="D7" s="4" t="s">
        <v>28</v>
      </c>
      <c r="E7" s="4" t="n">
        <v>4</v>
      </c>
      <c r="F7" s="4" t="n">
        <v>2</v>
      </c>
      <c r="G7" s="4" t="n">
        <v>2</v>
      </c>
      <c r="H7" s="4"/>
    </row>
    <row r="8" customFormat="false" ht="15" hidden="false" customHeight="false" outlineLevel="0" collapsed="false">
      <c r="A8" s="4" t="s">
        <v>68</v>
      </c>
      <c r="B8" s="4" t="n">
        <v>2</v>
      </c>
      <c r="C8" s="4" t="n">
        <v>14</v>
      </c>
      <c r="D8" s="4" t="s">
        <v>28</v>
      </c>
      <c r="E8" s="4" t="n">
        <v>5</v>
      </c>
      <c r="F8" s="4" t="n">
        <v>3</v>
      </c>
      <c r="G8" s="4" t="n">
        <v>2</v>
      </c>
      <c r="H8" s="4"/>
    </row>
    <row r="9" customFormat="false" ht="15" hidden="false" customHeight="false" outlineLevel="0" collapsed="false">
      <c r="A9" s="4" t="s">
        <v>68</v>
      </c>
      <c r="B9" s="4" t="n">
        <v>3</v>
      </c>
      <c r="C9" s="4" t="n">
        <v>4</v>
      </c>
      <c r="D9" s="4" t="s">
        <v>26</v>
      </c>
      <c r="E9" s="4" t="n">
        <v>2</v>
      </c>
      <c r="F9" s="4" t="n">
        <v>3</v>
      </c>
      <c r="G9" s="4" t="n">
        <v>1</v>
      </c>
      <c r="H9" s="4"/>
    </row>
    <row r="10" customFormat="false" ht="15" hidden="false" customHeight="false" outlineLevel="0" collapsed="false">
      <c r="A10" s="4" t="s">
        <v>68</v>
      </c>
      <c r="B10" s="4" t="n">
        <v>4</v>
      </c>
      <c r="C10" s="4" t="n">
        <v>9</v>
      </c>
      <c r="D10" s="4" t="s">
        <v>26</v>
      </c>
      <c r="E10" s="4" t="n">
        <v>2</v>
      </c>
      <c r="F10" s="4" t="n">
        <v>4</v>
      </c>
      <c r="G10" s="4" t="n">
        <v>4</v>
      </c>
      <c r="H10" s="4"/>
    </row>
    <row r="11" customFormat="false" ht="15" hidden="false" customHeight="false" outlineLevel="0" collapsed="false">
      <c r="A11" s="4" t="s">
        <v>68</v>
      </c>
      <c r="B11" s="4" t="n">
        <v>5</v>
      </c>
      <c r="C11" s="4" t="n">
        <v>12</v>
      </c>
      <c r="D11" s="4" t="s">
        <v>66</v>
      </c>
      <c r="E11" s="4" t="n">
        <v>6</v>
      </c>
      <c r="F11" s="4" t="n">
        <v>3</v>
      </c>
      <c r="G11" s="4" t="n">
        <v>2</v>
      </c>
      <c r="H11" s="4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4"/>
  </cols>
  <sheetData>
    <row r="1" customFormat="false" ht="26.85" hidden="false" customHeight="false" outlineLevel="0" collapsed="false">
      <c r="A1" s="3" t="s">
        <v>70</v>
      </c>
      <c r="B1" s="3" t="s">
        <v>58</v>
      </c>
      <c r="C1" s="3" t="s">
        <v>71</v>
      </c>
      <c r="D1" s="3" t="s">
        <v>72</v>
      </c>
    </row>
    <row r="2" customFormat="false" ht="15" hidden="false" customHeight="false" outlineLevel="0" collapsed="false">
      <c r="A2" s="4" t="s">
        <v>73</v>
      </c>
      <c r="B2" s="4" t="s">
        <v>65</v>
      </c>
      <c r="C2" s="4" t="s">
        <v>74</v>
      </c>
      <c r="D2" s="4" t="s">
        <v>34</v>
      </c>
    </row>
    <row r="3" customFormat="false" ht="15" hidden="false" customHeight="false" outlineLevel="0" collapsed="false">
      <c r="A3" s="4" t="s">
        <v>75</v>
      </c>
      <c r="B3" s="4" t="s">
        <v>65</v>
      </c>
      <c r="C3" s="4" t="s">
        <v>76</v>
      </c>
      <c r="D3" s="4" t="s">
        <v>32</v>
      </c>
    </row>
    <row r="4" customFormat="false" ht="15" hidden="false" customHeight="false" outlineLevel="0" collapsed="false">
      <c r="A4" s="4" t="s">
        <v>77</v>
      </c>
      <c r="B4" s="4" t="s">
        <v>65</v>
      </c>
      <c r="C4" s="4" t="s">
        <v>66</v>
      </c>
      <c r="D4" s="4" t="s">
        <v>26</v>
      </c>
    </row>
    <row r="5" customFormat="false" ht="15" hidden="false" customHeight="false" outlineLevel="0" collapsed="false">
      <c r="A5" s="4" t="s">
        <v>78</v>
      </c>
      <c r="B5" s="4" t="s">
        <v>65</v>
      </c>
      <c r="C5" s="4" t="s">
        <v>79</v>
      </c>
      <c r="D5" s="4" t="s">
        <v>30</v>
      </c>
    </row>
    <row r="6" customFormat="false" ht="15" hidden="false" customHeight="false" outlineLevel="0" collapsed="false">
      <c r="A6" s="4" t="s">
        <v>80</v>
      </c>
      <c r="B6" s="4" t="s">
        <v>65</v>
      </c>
      <c r="C6" s="4" t="s">
        <v>81</v>
      </c>
      <c r="D6" s="4" t="s">
        <v>28</v>
      </c>
    </row>
    <row r="7" customFormat="false" ht="15" hidden="false" customHeight="false" outlineLevel="0" collapsed="false">
      <c r="A7" s="4" t="s">
        <v>82</v>
      </c>
      <c r="B7" s="4" t="s">
        <v>65</v>
      </c>
      <c r="C7" s="4" t="s">
        <v>24</v>
      </c>
      <c r="D7" s="4" t="s">
        <v>24</v>
      </c>
    </row>
    <row r="8" customFormat="false" ht="15" hidden="false" customHeight="false" outlineLevel="0" collapsed="false">
      <c r="A8" s="4" t="s">
        <v>83</v>
      </c>
      <c r="B8" s="4" t="s">
        <v>68</v>
      </c>
      <c r="C8" s="4" t="s">
        <v>74</v>
      </c>
      <c r="D8" s="4" t="s">
        <v>34</v>
      </c>
    </row>
    <row r="9" customFormat="false" ht="15" hidden="false" customHeight="false" outlineLevel="0" collapsed="false">
      <c r="A9" s="4" t="s">
        <v>84</v>
      </c>
      <c r="B9" s="4" t="s">
        <v>68</v>
      </c>
      <c r="C9" s="4" t="s">
        <v>76</v>
      </c>
      <c r="D9" s="4" t="s">
        <v>32</v>
      </c>
    </row>
    <row r="10" customFormat="false" ht="15" hidden="false" customHeight="false" outlineLevel="0" collapsed="false">
      <c r="A10" s="4" t="s">
        <v>85</v>
      </c>
      <c r="B10" s="4" t="s">
        <v>68</v>
      </c>
      <c r="C10" s="4" t="s">
        <v>66</v>
      </c>
      <c r="D10" s="4" t="s">
        <v>28</v>
      </c>
    </row>
    <row r="11" customFormat="false" ht="15" hidden="false" customHeight="false" outlineLevel="0" collapsed="false">
      <c r="A11" s="4" t="s">
        <v>86</v>
      </c>
      <c r="B11" s="4" t="s">
        <v>68</v>
      </c>
      <c r="C11" s="4" t="s">
        <v>79</v>
      </c>
      <c r="D11" s="4" t="s">
        <v>26</v>
      </c>
    </row>
    <row r="12" customFormat="false" ht="15" hidden="false" customHeight="false" outlineLevel="0" collapsed="false">
      <c r="A12" s="4" t="s">
        <v>87</v>
      </c>
      <c r="B12" s="4" t="s">
        <v>68</v>
      </c>
      <c r="C12" s="4" t="s">
        <v>81</v>
      </c>
      <c r="D12" s="4" t="s">
        <v>30</v>
      </c>
    </row>
    <row r="13" customFormat="false" ht="15" hidden="false" customHeight="false" outlineLevel="0" collapsed="false">
      <c r="A13" s="4" t="s">
        <v>88</v>
      </c>
      <c r="B13" s="4" t="s">
        <v>68</v>
      </c>
      <c r="C13" s="4" t="s">
        <v>24</v>
      </c>
      <c r="D13" s="4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8"/>
    <col collapsed="false" customWidth="true" hidden="false" outlineLevel="0" max="4" min="3" style="0" width="12"/>
    <col collapsed="false" customWidth="true" hidden="false" outlineLevel="0" max="5" min="5" style="0" width="14"/>
  </cols>
  <sheetData>
    <row r="1" customFormat="false" ht="26.85" hidden="false" customHeight="false" outlineLevel="0" collapsed="false">
      <c r="A1" s="3" t="s">
        <v>89</v>
      </c>
      <c r="B1" s="3" t="s">
        <v>90</v>
      </c>
      <c r="C1" s="3" t="s">
        <v>91</v>
      </c>
      <c r="D1" s="3" t="s">
        <v>92</v>
      </c>
      <c r="E1" s="3" t="s">
        <v>93</v>
      </c>
    </row>
    <row r="2" customFormat="false" ht="15" hidden="false" customHeight="false" outlineLevel="0" collapsed="false">
      <c r="A2" s="4" t="n">
        <v>1</v>
      </c>
      <c r="B2" s="4" t="s">
        <v>94</v>
      </c>
      <c r="C2" s="4" t="n">
        <v>8</v>
      </c>
      <c r="D2" s="4" t="n">
        <v>1.5</v>
      </c>
      <c r="E2" s="4" t="n">
        <v>0.5</v>
      </c>
    </row>
    <row r="3" customFormat="false" ht="15" hidden="false" customHeight="false" outlineLevel="0" collapsed="false">
      <c r="A3" s="4" t="n">
        <v>2</v>
      </c>
      <c r="B3" s="4" t="s">
        <v>95</v>
      </c>
      <c r="C3" s="4" t="n">
        <v>4</v>
      </c>
      <c r="D3" s="4" t="n">
        <v>4</v>
      </c>
      <c r="E3" s="4" t="n">
        <v>2</v>
      </c>
    </row>
    <row r="4" customFormat="false" ht="15" hidden="false" customHeight="false" outlineLevel="0" collapsed="false">
      <c r="A4" s="4" t="n">
        <v>3</v>
      </c>
      <c r="B4" s="4" t="s">
        <v>96</v>
      </c>
      <c r="C4" s="4" t="n">
        <v>2</v>
      </c>
      <c r="D4" s="4" t="n">
        <v>6.5</v>
      </c>
      <c r="E4" s="4" t="n">
        <v>1.5</v>
      </c>
    </row>
    <row r="5" customFormat="false" ht="15" hidden="false" customHeight="false" outlineLevel="0" collapsed="false">
      <c r="A5" s="4" t="n">
        <v>4</v>
      </c>
      <c r="B5" s="4" t="s">
        <v>97</v>
      </c>
      <c r="C5" s="4" t="n">
        <v>2.5</v>
      </c>
      <c r="D5" s="4" t="n">
        <v>5</v>
      </c>
      <c r="E5" s="4" t="n">
        <v>2.5</v>
      </c>
    </row>
    <row r="6" customFormat="false" ht="15" hidden="false" customHeight="false" outlineLevel="0" collapsed="false">
      <c r="A6" s="4" t="n">
        <v>5</v>
      </c>
      <c r="B6" s="4" t="s">
        <v>98</v>
      </c>
      <c r="C6" s="4" t="n">
        <v>2.5</v>
      </c>
      <c r="D6" s="4" t="n">
        <v>2.5</v>
      </c>
      <c r="E6" s="4" t="n">
        <v>5</v>
      </c>
    </row>
    <row r="7" customFormat="false" ht="15" hidden="false" customHeight="false" outlineLevel="0" collapsed="false">
      <c r="A7" s="4" t="n">
        <v>6</v>
      </c>
      <c r="B7" s="4" t="s">
        <v>99</v>
      </c>
      <c r="C7" s="4" t="n">
        <v>0.5</v>
      </c>
      <c r="D7" s="4" t="n">
        <v>8.5</v>
      </c>
      <c r="E7" s="4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5" min="2" style="0" width="7"/>
  </cols>
  <sheetData>
    <row r="1" customFormat="false" ht="15" hidden="false" customHeight="false" outlineLevel="0" collapsed="false">
      <c r="A1" s="3" t="s">
        <v>58</v>
      </c>
      <c r="B1" s="3" t="s">
        <v>100</v>
      </c>
      <c r="C1" s="3" t="s">
        <v>101</v>
      </c>
      <c r="D1" s="3" t="s">
        <v>102</v>
      </c>
      <c r="E1" s="3" t="s">
        <v>103</v>
      </c>
    </row>
    <row r="2" customFormat="false" ht="15" hidden="false" customHeight="false" outlineLevel="0" collapsed="false">
      <c r="A2" s="4" t="s">
        <v>65</v>
      </c>
      <c r="B2" s="4" t="n">
        <v>2</v>
      </c>
      <c r="C2" s="4" t="n">
        <v>3</v>
      </c>
      <c r="D2" s="4" t="n">
        <v>2</v>
      </c>
      <c r="E2" s="4" t="n">
        <v>3</v>
      </c>
    </row>
    <row r="3" customFormat="false" ht="15" hidden="false" customHeight="false" outlineLevel="0" collapsed="false">
      <c r="A3" s="4" t="s">
        <v>68</v>
      </c>
      <c r="B3" s="4" t="n">
        <v>2</v>
      </c>
      <c r="C3" s="4" t="n">
        <v>3</v>
      </c>
      <c r="D3" s="4" t="n">
        <v>2</v>
      </c>
      <c r="E3" s="4" t="n"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58" min="3" style="0" width="8"/>
  </cols>
  <sheetData>
    <row r="1" customFormat="false" ht="15" hidden="false" customHeight="false" outlineLevel="0" collapsed="false">
      <c r="A1" s="5" t="s">
        <v>104</v>
      </c>
    </row>
    <row r="2" customFormat="false" ht="39.55" hidden="false" customHeight="false" outlineLevel="0" collapsed="false">
      <c r="A2" s="6" t="s">
        <v>105</v>
      </c>
      <c r="B2" s="6" t="s">
        <v>58</v>
      </c>
      <c r="C2" s="6" t="s">
        <v>91</v>
      </c>
      <c r="D2" s="6" t="s">
        <v>92</v>
      </c>
      <c r="E2" s="6" t="s">
        <v>93</v>
      </c>
      <c r="F2" s="6" t="s">
        <v>106</v>
      </c>
      <c r="G2" s="6" t="s">
        <v>107</v>
      </c>
      <c r="H2" s="6" t="s">
        <v>108</v>
      </c>
      <c r="I2" s="6" t="s">
        <v>109</v>
      </c>
      <c r="J2" s="6" t="s">
        <v>110</v>
      </c>
      <c r="K2" s="6" t="s">
        <v>111</v>
      </c>
      <c r="L2" s="6" t="s">
        <v>112</v>
      </c>
      <c r="M2" s="6" t="s">
        <v>113</v>
      </c>
      <c r="N2" s="6" t="s">
        <v>114</v>
      </c>
      <c r="O2" s="6" t="s">
        <v>115</v>
      </c>
      <c r="P2" s="6" t="s">
        <v>116</v>
      </c>
      <c r="Q2" s="6" t="s">
        <v>117</v>
      </c>
      <c r="R2" s="6" t="s">
        <v>118</v>
      </c>
      <c r="S2" s="6" t="s">
        <v>119</v>
      </c>
      <c r="T2" s="6" t="s">
        <v>120</v>
      </c>
      <c r="U2" s="6" t="s">
        <v>121</v>
      </c>
      <c r="V2" s="6" t="s">
        <v>122</v>
      </c>
      <c r="W2" s="6" t="s">
        <v>123</v>
      </c>
      <c r="X2" s="6" t="s">
        <v>124</v>
      </c>
      <c r="Y2" s="6" t="s">
        <v>125</v>
      </c>
      <c r="Z2" s="6" t="s">
        <v>126</v>
      </c>
      <c r="AA2" s="6" t="s">
        <v>127</v>
      </c>
      <c r="AB2" s="6" t="s">
        <v>128</v>
      </c>
      <c r="AC2" s="6" t="s">
        <v>129</v>
      </c>
      <c r="AD2" s="6" t="s">
        <v>130</v>
      </c>
      <c r="AE2" s="6" t="s">
        <v>131</v>
      </c>
      <c r="AF2" s="6" t="s">
        <v>132</v>
      </c>
      <c r="AG2" s="6" t="s">
        <v>133</v>
      </c>
      <c r="AH2" s="6" t="s">
        <v>134</v>
      </c>
      <c r="AI2" s="6" t="s">
        <v>135</v>
      </c>
      <c r="AJ2" s="6" t="s">
        <v>136</v>
      </c>
      <c r="AK2" s="6" t="s">
        <v>137</v>
      </c>
      <c r="AL2" s="6" t="s">
        <v>138</v>
      </c>
      <c r="AM2" s="6" t="s">
        <v>139</v>
      </c>
      <c r="AN2" s="6" t="s">
        <v>140</v>
      </c>
      <c r="AO2" s="6" t="s">
        <v>141</v>
      </c>
      <c r="AP2" s="6" t="s">
        <v>100</v>
      </c>
      <c r="AQ2" s="6" t="s">
        <v>101</v>
      </c>
      <c r="AR2" s="6" t="s">
        <v>102</v>
      </c>
      <c r="AS2" s="6" t="s">
        <v>103</v>
      </c>
      <c r="AT2" s="6" t="s">
        <v>142</v>
      </c>
      <c r="AU2" s="6" t="s">
        <v>143</v>
      </c>
      <c r="AV2" s="6" t="s">
        <v>144</v>
      </c>
      <c r="AW2" s="6" t="s">
        <v>145</v>
      </c>
      <c r="AX2" s="6" t="s">
        <v>146</v>
      </c>
      <c r="AY2" s="6" t="s">
        <v>147</v>
      </c>
      <c r="AZ2" s="6" t="s">
        <v>148</v>
      </c>
      <c r="BA2" s="6" t="s">
        <v>149</v>
      </c>
      <c r="BB2" s="6" t="s">
        <v>150</v>
      </c>
      <c r="BC2" s="6" t="s">
        <v>151</v>
      </c>
      <c r="BD2" s="6" t="s">
        <v>152</v>
      </c>
      <c r="BE2" s="6" t="s">
        <v>153</v>
      </c>
      <c r="BF2" s="6" t="s">
        <v>154</v>
      </c>
    </row>
    <row r="3" customFormat="false" ht="15" hidden="false" customHeight="false" outlineLevel="0" collapsed="false">
      <c r="A3" s="5" t="s">
        <v>155</v>
      </c>
      <c r="B3" s="5" t="s">
        <v>65</v>
      </c>
      <c r="C3" s="7" t="n">
        <v>4</v>
      </c>
      <c r="D3" s="7" t="n">
        <v>4</v>
      </c>
      <c r="E3" s="7" t="n">
        <v>2</v>
      </c>
      <c r="F3" s="7" t="n">
        <v>2</v>
      </c>
      <c r="G3" s="7" t="n">
        <v>2</v>
      </c>
      <c r="H3" s="7" t="n">
        <v>1</v>
      </c>
      <c r="I3" s="7" t="n">
        <v>2</v>
      </c>
      <c r="J3" s="7" t="n">
        <v>2</v>
      </c>
      <c r="K3" s="7" t="n">
        <v>2</v>
      </c>
      <c r="L3" s="7" t="n">
        <v>2</v>
      </c>
      <c r="M3" s="7" t="n">
        <v>2</v>
      </c>
      <c r="N3" s="7" t="n">
        <v>1</v>
      </c>
      <c r="O3" s="7" t="n">
        <v>3</v>
      </c>
      <c r="P3" s="7"/>
      <c r="Q3" s="7" t="n">
        <v>5</v>
      </c>
      <c r="R3" s="7" t="n">
        <v>2</v>
      </c>
      <c r="S3" s="7" t="n">
        <v>3</v>
      </c>
      <c r="T3" s="7" t="n">
        <v>4</v>
      </c>
      <c r="U3" s="7" t="n">
        <v>2</v>
      </c>
      <c r="V3" s="7"/>
      <c r="W3" s="7" t="n">
        <v>5</v>
      </c>
      <c r="X3" s="7" t="n">
        <v>3</v>
      </c>
      <c r="Y3" s="7" t="n">
        <v>2</v>
      </c>
      <c r="Z3" s="7" t="n">
        <v>2</v>
      </c>
      <c r="AA3" s="7" t="s">
        <v>26</v>
      </c>
      <c r="AB3" s="7" t="n">
        <v>0.5</v>
      </c>
      <c r="AC3" s="7" t="n">
        <v>6</v>
      </c>
      <c r="AD3" s="7" t="n">
        <v>4</v>
      </c>
      <c r="AE3" s="7" t="n">
        <v>3</v>
      </c>
      <c r="AF3" s="7" t="n">
        <v>2</v>
      </c>
      <c r="AG3" s="7" t="s">
        <v>30</v>
      </c>
      <c r="AH3" s="7" t="n">
        <v>0.8</v>
      </c>
      <c r="AI3" s="7" t="n">
        <v>6</v>
      </c>
      <c r="AJ3" s="7" t="n">
        <v>5</v>
      </c>
      <c r="AK3" s="7" t="n">
        <v>5</v>
      </c>
      <c r="AL3" s="7" t="n">
        <v>2</v>
      </c>
      <c r="AM3" s="7" t="s">
        <v>81</v>
      </c>
      <c r="AN3" s="7" t="n">
        <v>0.7</v>
      </c>
      <c r="AO3" s="7" t="n">
        <v>6</v>
      </c>
      <c r="AP3" s="7" t="n">
        <v>2</v>
      </c>
      <c r="AQ3" s="7" t="n">
        <v>2</v>
      </c>
      <c r="AR3" s="7" t="n">
        <v>2</v>
      </c>
      <c r="AS3" s="7" t="n">
        <v>2</v>
      </c>
      <c r="AT3" s="7" t="n">
        <v>4</v>
      </c>
      <c r="AU3" s="7" t="n">
        <v>4</v>
      </c>
      <c r="AV3" s="7" t="n">
        <v>2</v>
      </c>
      <c r="AW3" s="7" t="n">
        <v>4</v>
      </c>
      <c r="AX3" s="7" t="n">
        <v>3</v>
      </c>
      <c r="AY3" s="7" t="n">
        <v>3</v>
      </c>
      <c r="AZ3" s="7" t="n">
        <v>2</v>
      </c>
      <c r="BA3" s="7" t="n">
        <v>3</v>
      </c>
      <c r="BB3" s="7" t="n">
        <v>3</v>
      </c>
      <c r="BC3" s="7" t="n">
        <v>4</v>
      </c>
      <c r="BD3" s="7" t="n">
        <v>3</v>
      </c>
      <c r="BE3" s="7"/>
      <c r="BF3" s="7"/>
    </row>
    <row r="4" customFormat="false" ht="15" hidden="false" customHeight="false" outlineLevel="0" collapsed="false">
      <c r="A4" s="5" t="s">
        <v>156</v>
      </c>
      <c r="B4" s="5" t="s">
        <v>68</v>
      </c>
      <c r="C4" s="7" t="n">
        <v>2</v>
      </c>
      <c r="D4" s="7" t="n">
        <v>4</v>
      </c>
      <c r="E4" s="7" t="n">
        <v>4</v>
      </c>
      <c r="F4" s="7" t="n">
        <v>2</v>
      </c>
      <c r="G4" s="7" t="n">
        <v>2</v>
      </c>
      <c r="H4" s="7" t="n">
        <v>1</v>
      </c>
      <c r="I4" s="7" t="n">
        <v>2</v>
      </c>
      <c r="J4" s="7" t="n">
        <v>2</v>
      </c>
      <c r="K4" s="7" t="n">
        <v>2</v>
      </c>
      <c r="L4" s="7" t="n">
        <v>4</v>
      </c>
      <c r="M4" s="7" t="n">
        <v>2</v>
      </c>
      <c r="N4" s="7" t="n">
        <v>2</v>
      </c>
      <c r="O4" s="7" t="s">
        <v>30</v>
      </c>
      <c r="P4" s="7" t="n">
        <v>0.6</v>
      </c>
      <c r="Q4" s="7" t="n">
        <v>5</v>
      </c>
      <c r="R4" s="7" t="n">
        <v>5</v>
      </c>
      <c r="S4" s="7" t="n">
        <v>3</v>
      </c>
      <c r="T4" s="7" t="n">
        <v>2</v>
      </c>
      <c r="U4" s="7" t="s">
        <v>30</v>
      </c>
      <c r="V4" s="7" t="n">
        <v>0.5</v>
      </c>
      <c r="W4" s="7" t="n">
        <v>5</v>
      </c>
      <c r="X4" s="7" t="n">
        <v>2</v>
      </c>
      <c r="Y4" s="7" t="n">
        <v>3</v>
      </c>
      <c r="Z4" s="7" t="n">
        <v>1</v>
      </c>
      <c r="AA4" s="7" t="n">
        <v>2</v>
      </c>
      <c r="AB4" s="7"/>
      <c r="AC4" s="7" t="n">
        <v>4</v>
      </c>
      <c r="AD4" s="7" t="n">
        <v>2</v>
      </c>
      <c r="AE4" s="7" t="n">
        <v>4</v>
      </c>
      <c r="AF4" s="7" t="n">
        <v>4</v>
      </c>
      <c r="AG4" s="7" t="n">
        <v>2</v>
      </c>
      <c r="AH4" s="7"/>
      <c r="AI4" s="7" t="n">
        <v>4</v>
      </c>
      <c r="AJ4" s="7" t="n">
        <v>6</v>
      </c>
      <c r="AK4" s="7" t="n">
        <v>4</v>
      </c>
      <c r="AL4" s="7" t="n">
        <v>2</v>
      </c>
      <c r="AM4" s="7" t="s">
        <v>81</v>
      </c>
      <c r="AN4" s="7" t="n">
        <v>0.8</v>
      </c>
      <c r="AO4" s="7" t="n">
        <v>5</v>
      </c>
      <c r="AP4" s="7" t="n">
        <v>2</v>
      </c>
      <c r="AQ4" s="7" t="n">
        <v>3</v>
      </c>
      <c r="AR4" s="7" t="n">
        <v>2</v>
      </c>
      <c r="AS4" s="7" t="n">
        <v>3</v>
      </c>
      <c r="AT4" s="7" t="n">
        <v>4</v>
      </c>
      <c r="AU4" s="7" t="n">
        <v>4</v>
      </c>
      <c r="AV4" s="7" t="n">
        <v>2</v>
      </c>
      <c r="AW4" s="7" t="n">
        <v>4</v>
      </c>
      <c r="AX4" s="7" t="n">
        <v>2</v>
      </c>
      <c r="AY4" s="7" t="n">
        <v>4</v>
      </c>
      <c r="AZ4" s="7" t="n">
        <v>1</v>
      </c>
      <c r="BA4" s="7" t="n">
        <v>4</v>
      </c>
      <c r="BB4" s="7" t="n">
        <v>1</v>
      </c>
      <c r="BC4" s="7" t="n">
        <v>4</v>
      </c>
      <c r="BD4" s="7" t="n">
        <v>2</v>
      </c>
      <c r="BE4" s="7"/>
      <c r="BF4" s="7"/>
    </row>
    <row r="5" customFormat="false" ht="15" hidden="false" customHeight="false" outlineLevel="0" collapsed="false">
      <c r="A5" s="5" t="s">
        <v>157</v>
      </c>
      <c r="B5" s="5" t="s">
        <v>65</v>
      </c>
      <c r="C5" s="7" t="n">
        <v>3</v>
      </c>
      <c r="D5" s="7" t="n">
        <v>4</v>
      </c>
      <c r="E5" s="7" t="n">
        <v>3</v>
      </c>
      <c r="F5" s="7" t="n">
        <v>2</v>
      </c>
      <c r="G5" s="7" t="n">
        <v>2</v>
      </c>
      <c r="H5" s="7" t="n">
        <v>1</v>
      </c>
      <c r="I5" s="7" t="n">
        <v>2</v>
      </c>
      <c r="J5" s="7" t="n">
        <v>2</v>
      </c>
      <c r="K5" s="7" t="n">
        <v>2</v>
      </c>
      <c r="L5" s="7" t="n">
        <v>2</v>
      </c>
      <c r="M5" s="7" t="n">
        <v>4</v>
      </c>
      <c r="N5" s="7" t="n">
        <v>1</v>
      </c>
      <c r="O5" s="7" t="n">
        <v>1</v>
      </c>
      <c r="P5" s="7"/>
      <c r="Q5" s="7" t="n">
        <v>6</v>
      </c>
      <c r="R5" s="7" t="n">
        <v>2</v>
      </c>
      <c r="S5" s="7" t="n">
        <v>2</v>
      </c>
      <c r="T5" s="7" t="n">
        <v>4</v>
      </c>
      <c r="U5" s="7" t="n">
        <v>1</v>
      </c>
      <c r="V5" s="7"/>
      <c r="W5" s="7" t="n">
        <v>6</v>
      </c>
      <c r="X5" s="7" t="n">
        <v>3</v>
      </c>
      <c r="Y5" s="7" t="n">
        <v>2</v>
      </c>
      <c r="Z5" s="7" t="n">
        <v>3</v>
      </c>
      <c r="AA5" s="7" t="s">
        <v>28</v>
      </c>
      <c r="AB5" s="7" t="n">
        <v>0.7</v>
      </c>
      <c r="AC5" s="7" t="n">
        <v>7</v>
      </c>
      <c r="AD5" s="7" t="n">
        <v>4</v>
      </c>
      <c r="AE5" s="7" t="n">
        <v>3</v>
      </c>
      <c r="AF5" s="7" t="n">
        <v>3</v>
      </c>
      <c r="AG5" s="7" t="s">
        <v>30</v>
      </c>
      <c r="AH5" s="7" t="n">
        <v>0.7</v>
      </c>
      <c r="AI5" s="7" t="n">
        <v>7</v>
      </c>
      <c r="AJ5" s="7" t="n">
        <v>6</v>
      </c>
      <c r="AK5" s="7" t="n">
        <v>5</v>
      </c>
      <c r="AL5" s="7" t="n">
        <v>3</v>
      </c>
      <c r="AM5" s="7" t="s">
        <v>81</v>
      </c>
      <c r="AN5" s="7" t="n">
        <v>0.7</v>
      </c>
      <c r="AO5" s="7" t="n">
        <v>6</v>
      </c>
      <c r="AP5" s="7" t="n">
        <v>1</v>
      </c>
      <c r="AQ5" s="7" t="n">
        <v>3</v>
      </c>
      <c r="AR5" s="7" t="n">
        <v>2</v>
      </c>
      <c r="AS5" s="7" t="n">
        <v>3</v>
      </c>
      <c r="AT5" s="7" t="n">
        <v>4</v>
      </c>
      <c r="AU5" s="7" t="n">
        <v>4</v>
      </c>
      <c r="AV5" s="7" t="n">
        <v>2</v>
      </c>
      <c r="AW5" s="7" t="n">
        <v>4</v>
      </c>
      <c r="AX5" s="7" t="n">
        <v>2</v>
      </c>
      <c r="AY5" s="7" t="n">
        <v>4</v>
      </c>
      <c r="AZ5" s="7" t="n">
        <v>2</v>
      </c>
      <c r="BA5" s="7" t="n">
        <v>4</v>
      </c>
      <c r="BB5" s="7" t="n">
        <v>2</v>
      </c>
      <c r="BC5" s="7" t="n">
        <v>4</v>
      </c>
      <c r="BD5" s="7" t="n">
        <v>2</v>
      </c>
      <c r="BE5" s="7"/>
      <c r="BF5" s="7"/>
    </row>
    <row r="6" customFormat="false" ht="15" hidden="false" customHeight="false" outlineLevel="0" collapsed="false">
      <c r="A6" s="5" t="s">
        <v>158</v>
      </c>
      <c r="B6" s="5" t="s">
        <v>68</v>
      </c>
      <c r="C6" s="7" t="n">
        <v>4</v>
      </c>
      <c r="D6" s="7" t="n">
        <v>3</v>
      </c>
      <c r="E6" s="7" t="n">
        <v>3</v>
      </c>
      <c r="F6" s="7" t="n">
        <v>1</v>
      </c>
      <c r="G6" s="7" t="n">
        <v>2</v>
      </c>
      <c r="H6" s="7" t="n">
        <v>1</v>
      </c>
      <c r="I6" s="7" t="n">
        <v>2</v>
      </c>
      <c r="J6" s="7" t="n">
        <v>2</v>
      </c>
      <c r="K6" s="7" t="n">
        <v>2</v>
      </c>
      <c r="L6" s="7" t="n">
        <v>4</v>
      </c>
      <c r="M6" s="7" t="n">
        <v>2</v>
      </c>
      <c r="N6" s="7" t="n">
        <v>2</v>
      </c>
      <c r="O6" s="7" t="s">
        <v>30</v>
      </c>
      <c r="P6" s="7" t="n">
        <v>0.8</v>
      </c>
      <c r="Q6" s="7" t="n">
        <v>5</v>
      </c>
      <c r="R6" s="7" t="n">
        <v>5</v>
      </c>
      <c r="S6" s="7" t="n">
        <v>3</v>
      </c>
      <c r="T6" s="7" t="n">
        <v>2</v>
      </c>
      <c r="U6" s="7" t="s">
        <v>30</v>
      </c>
      <c r="V6" s="7" t="n">
        <v>0.7</v>
      </c>
      <c r="W6" s="7" t="n">
        <v>5</v>
      </c>
      <c r="X6" s="7" t="n">
        <v>2</v>
      </c>
      <c r="Y6" s="7" t="n">
        <v>3</v>
      </c>
      <c r="Z6" s="7" t="n">
        <v>1</v>
      </c>
      <c r="AA6" s="7" t="n">
        <v>1</v>
      </c>
      <c r="AB6" s="7"/>
      <c r="AC6" s="7" t="n">
        <v>6</v>
      </c>
      <c r="AD6" s="7" t="n">
        <v>2</v>
      </c>
      <c r="AE6" s="7" t="n">
        <v>4</v>
      </c>
      <c r="AF6" s="7" t="n">
        <v>4</v>
      </c>
      <c r="AG6" s="7" t="n">
        <v>2</v>
      </c>
      <c r="AH6" s="7"/>
      <c r="AI6" s="7" t="n">
        <v>5</v>
      </c>
      <c r="AJ6" s="7" t="n">
        <v>6</v>
      </c>
      <c r="AK6" s="7" t="n">
        <v>3</v>
      </c>
      <c r="AL6" s="7" t="n">
        <v>2</v>
      </c>
      <c r="AM6" s="7" t="s">
        <v>81</v>
      </c>
      <c r="AN6" s="7" t="n">
        <v>0.8</v>
      </c>
      <c r="AO6" s="7" t="n">
        <v>7</v>
      </c>
      <c r="AP6" s="7" t="n">
        <v>2</v>
      </c>
      <c r="AQ6" s="7" t="n">
        <v>3</v>
      </c>
      <c r="AR6" s="7" t="n">
        <v>2</v>
      </c>
      <c r="AS6" s="7" t="n">
        <v>3</v>
      </c>
      <c r="AT6" s="7" t="n">
        <v>4</v>
      </c>
      <c r="AU6" s="7"/>
      <c r="AV6" s="7" t="n">
        <v>1</v>
      </c>
      <c r="AW6" s="7" t="n">
        <v>5</v>
      </c>
      <c r="AX6" s="7" t="n">
        <v>2</v>
      </c>
      <c r="AY6" s="7" t="n">
        <v>5</v>
      </c>
      <c r="AZ6" s="7" t="n">
        <v>1</v>
      </c>
      <c r="BA6" s="7" t="n">
        <v>3</v>
      </c>
      <c r="BB6" s="7" t="n">
        <v>1</v>
      </c>
      <c r="BC6" s="7" t="n">
        <v>5</v>
      </c>
      <c r="BD6" s="7" t="n">
        <v>2</v>
      </c>
      <c r="BE6" s="7"/>
      <c r="BF6" s="7"/>
    </row>
    <row r="7" customFormat="false" ht="15" hidden="false" customHeight="false" outlineLevel="0" collapsed="false">
      <c r="A7" s="5" t="s">
        <v>159</v>
      </c>
      <c r="B7" s="5" t="s">
        <v>65</v>
      </c>
      <c r="C7" s="7" t="n">
        <v>3</v>
      </c>
      <c r="D7" s="7" t="n">
        <v>5</v>
      </c>
      <c r="E7" s="7" t="n">
        <v>2</v>
      </c>
      <c r="F7" s="7" t="n">
        <v>2</v>
      </c>
      <c r="G7" s="7" t="n">
        <v>2</v>
      </c>
      <c r="H7" s="7" t="n">
        <v>1</v>
      </c>
      <c r="I7" s="7" t="n">
        <v>2</v>
      </c>
      <c r="J7" s="7" t="n">
        <v>2</v>
      </c>
      <c r="K7" s="7" t="n">
        <v>2</v>
      </c>
      <c r="L7" s="7" t="n">
        <v>2</v>
      </c>
      <c r="M7" s="7" t="n">
        <v>4</v>
      </c>
      <c r="N7" s="7" t="n">
        <v>1</v>
      </c>
      <c r="O7" s="7" t="n">
        <v>2</v>
      </c>
      <c r="P7" s="7"/>
      <c r="Q7" s="7" t="n">
        <v>4</v>
      </c>
      <c r="R7" s="7" t="n">
        <v>2</v>
      </c>
      <c r="S7" s="7" t="n">
        <v>2</v>
      </c>
      <c r="T7" s="7" t="n">
        <v>4</v>
      </c>
      <c r="U7" s="7" t="n">
        <v>2</v>
      </c>
      <c r="V7" s="7"/>
      <c r="W7" s="7" t="n">
        <v>5</v>
      </c>
      <c r="X7" s="7" t="n">
        <v>3</v>
      </c>
      <c r="Y7" s="7" t="n">
        <v>2</v>
      </c>
      <c r="Z7" s="7" t="n">
        <v>2</v>
      </c>
      <c r="AA7" s="7" t="s">
        <v>28</v>
      </c>
      <c r="AB7" s="7" t="n">
        <v>0.7</v>
      </c>
      <c r="AC7" s="7" t="n">
        <v>5</v>
      </c>
      <c r="AD7" s="7" t="n">
        <v>4</v>
      </c>
      <c r="AE7" s="7" t="n">
        <v>3</v>
      </c>
      <c r="AF7" s="7" t="n">
        <v>2</v>
      </c>
      <c r="AG7" s="7" t="s">
        <v>30</v>
      </c>
      <c r="AH7" s="7" t="n">
        <v>0.5</v>
      </c>
      <c r="AI7" s="7" t="n">
        <v>6</v>
      </c>
      <c r="AJ7" s="7" t="n">
        <v>6</v>
      </c>
      <c r="AK7" s="7" t="n">
        <v>5</v>
      </c>
      <c r="AL7" s="7" t="n">
        <v>2</v>
      </c>
      <c r="AM7" s="7" t="s">
        <v>81</v>
      </c>
      <c r="AN7" s="7" t="n">
        <v>0.7</v>
      </c>
      <c r="AO7" s="7" t="n">
        <v>5</v>
      </c>
      <c r="AP7" s="7" t="n">
        <v>2</v>
      </c>
      <c r="AQ7" s="7" t="n">
        <v>3</v>
      </c>
      <c r="AR7" s="7" t="n">
        <v>2</v>
      </c>
      <c r="AS7" s="7" t="n">
        <v>3</v>
      </c>
      <c r="AT7" s="7" t="n">
        <v>4</v>
      </c>
      <c r="AU7" s="7" t="n">
        <v>4</v>
      </c>
      <c r="AV7" s="7" t="n">
        <v>2</v>
      </c>
      <c r="AW7" s="7" t="n">
        <v>4</v>
      </c>
      <c r="AX7" s="7" t="n">
        <v>2</v>
      </c>
      <c r="AY7" s="7" t="n">
        <v>4</v>
      </c>
      <c r="AZ7" s="7" t="n">
        <v>1</v>
      </c>
      <c r="BA7" s="7" t="n">
        <v>4</v>
      </c>
      <c r="BB7" s="7" t="n">
        <v>1</v>
      </c>
      <c r="BC7" s="7" t="n">
        <v>4</v>
      </c>
      <c r="BD7" s="7" t="n">
        <v>2</v>
      </c>
      <c r="BE7" s="7"/>
      <c r="BF7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9"/>
    <col collapsed="false" customWidth="true" hidden="false" outlineLevel="0" max="60" min="3" style="0" width="11"/>
  </cols>
  <sheetData>
    <row r="1" customFormat="false" ht="52.2" hidden="false" customHeight="false" outlineLevel="0" collapsed="false">
      <c r="A1" s="3" t="s">
        <v>105</v>
      </c>
      <c r="B1" s="3" t="s">
        <v>58</v>
      </c>
      <c r="C1" s="3" t="s">
        <v>160</v>
      </c>
      <c r="D1" s="3" t="s">
        <v>161</v>
      </c>
      <c r="E1" s="3" t="s">
        <v>162</v>
      </c>
      <c r="F1" s="3" t="s">
        <v>163</v>
      </c>
      <c r="G1" s="3" t="s">
        <v>164</v>
      </c>
      <c r="H1" s="3" t="s">
        <v>165</v>
      </c>
      <c r="I1" s="3" t="s">
        <v>166</v>
      </c>
      <c r="J1" s="3" t="s">
        <v>167</v>
      </c>
      <c r="K1" s="3" t="s">
        <v>168</v>
      </c>
      <c r="L1" s="3" t="s">
        <v>169</v>
      </c>
      <c r="M1" s="3" t="s">
        <v>170</v>
      </c>
      <c r="N1" s="3" t="s">
        <v>171</v>
      </c>
      <c r="O1" s="3" t="s">
        <v>172</v>
      </c>
      <c r="P1" s="3" t="s">
        <v>173</v>
      </c>
      <c r="Q1" s="3" t="s">
        <v>174</v>
      </c>
      <c r="R1" s="3" t="s">
        <v>175</v>
      </c>
      <c r="S1" s="3" t="s">
        <v>176</v>
      </c>
      <c r="T1" s="3" t="s">
        <v>177</v>
      </c>
      <c r="U1" s="3" t="s">
        <v>178</v>
      </c>
      <c r="V1" s="3" t="s">
        <v>179</v>
      </c>
      <c r="W1" s="3" t="s">
        <v>180</v>
      </c>
      <c r="X1" s="3" t="s">
        <v>181</v>
      </c>
      <c r="Y1" s="3" t="s">
        <v>182</v>
      </c>
      <c r="Z1" s="3" t="s">
        <v>183</v>
      </c>
      <c r="AA1" s="3" t="s">
        <v>184</v>
      </c>
      <c r="AB1" s="3" t="s">
        <v>185</v>
      </c>
      <c r="AC1" s="3" t="s">
        <v>186</v>
      </c>
      <c r="AD1" s="3" t="s">
        <v>187</v>
      </c>
      <c r="AE1" s="3" t="s">
        <v>188</v>
      </c>
      <c r="AF1" s="3" t="s">
        <v>189</v>
      </c>
      <c r="AG1" s="3" t="s">
        <v>190</v>
      </c>
      <c r="AH1" s="3" t="s">
        <v>191</v>
      </c>
      <c r="AI1" s="3" t="s">
        <v>192</v>
      </c>
      <c r="AJ1" s="3" t="s">
        <v>193</v>
      </c>
      <c r="AK1" s="3" t="s">
        <v>194</v>
      </c>
      <c r="AL1" s="3" t="s">
        <v>195</v>
      </c>
      <c r="AM1" s="3" t="s">
        <v>196</v>
      </c>
      <c r="AN1" s="3" t="s">
        <v>197</v>
      </c>
      <c r="AO1" s="3" t="s">
        <v>198</v>
      </c>
      <c r="AP1" s="3" t="s">
        <v>199</v>
      </c>
      <c r="AQ1" s="3" t="s">
        <v>200</v>
      </c>
      <c r="AR1" s="3" t="s">
        <v>201</v>
      </c>
      <c r="AS1" s="3" t="s">
        <v>202</v>
      </c>
      <c r="AT1" s="3" t="s">
        <v>203</v>
      </c>
      <c r="AU1" s="3" t="s">
        <v>204</v>
      </c>
      <c r="AV1" s="3" t="s">
        <v>205</v>
      </c>
      <c r="AW1" s="3" t="s">
        <v>206</v>
      </c>
      <c r="AX1" s="3" t="s">
        <v>207</v>
      </c>
      <c r="AY1" s="3" t="s">
        <v>208</v>
      </c>
      <c r="AZ1" s="3" t="s">
        <v>209</v>
      </c>
      <c r="BA1" s="3" t="s">
        <v>210</v>
      </c>
      <c r="BB1" s="3" t="s">
        <v>211</v>
      </c>
      <c r="BC1" s="3" t="s">
        <v>212</v>
      </c>
      <c r="BD1" s="3" t="s">
        <v>213</v>
      </c>
      <c r="BE1" s="3" t="s">
        <v>214</v>
      </c>
      <c r="BF1" s="3" t="s">
        <v>215</v>
      </c>
      <c r="BG1" s="3" t="s">
        <v>216</v>
      </c>
      <c r="BH1" s="3" t="s">
        <v>217</v>
      </c>
    </row>
    <row r="2" customFormat="false" ht="15" hidden="false" customHeight="false" outlineLevel="0" collapsed="false">
      <c r="A2" s="4" t="str">
        <f aca="false">Responses!$A$3</f>
        <v>P01</v>
      </c>
      <c r="B2" s="4" t="str">
        <f aca="false">Responses!$B$3</f>
        <v>X</v>
      </c>
      <c r="C2" s="8" t="n">
        <f aca="false">SUM(Responses!$C$3,Responses!$D$3,Responses!$E$3)</f>
        <v>10</v>
      </c>
      <c r="D2" s="8" t="str">
        <f aca="false">IF(C2=0,"",IF(C2&lt;&gt;10,"X","Y"))</f>
        <v>Y</v>
      </c>
      <c r="E2" s="8" t="n">
        <f aca="false">IF(OR(Responses!$F$3="",Responses!$F$3&gt;6),"",MAX(ABS(Responses!$C$3-INDEX(Profiles!$C$2:$C$7,Responses!$F$3)),ABS(Responses!$D$3-INDEX(Profiles!$D$2:$D$7,Responses!$F$3)),ABS(Responses!$E$3-INDEX(Profiles!$E$2:$E$7,Responses!$F$3))))</f>
        <v>0</v>
      </c>
      <c r="F2" s="8" t="str">
        <f aca="false">IF(E2="","",IF(E2&gt;=4,"X",IF(E2&lt;=2,"Y","–")))</f>
        <v>Y</v>
      </c>
      <c r="G2" s="8" t="n">
        <f aca="false">(Responses!$G$3=2)*1+(Responses!$H$3=1)*1+(Responses!$I$3=2)*1+(Responses!$J$3=2)*1+(Responses!$K$3=2)*1</f>
        <v>5</v>
      </c>
      <c r="H2" s="8" t="str">
        <f aca="false">IF(Responses!$G$3="","",IF(G2&lt;=3,"X",IF(G2=5,"Y","–")))</f>
        <v>Y</v>
      </c>
      <c r="I2" s="8" t="str">
        <f aca="false">INDEX(Sequence!$D$2:$D$11,MATCH(1,INDEX((Sequence!$A$2:$A$11=$B$2)*(Sequence!$B$2:$B$11=1),0),0))</f>
        <v>A</v>
      </c>
      <c r="J2" s="8" t="n">
        <f aca="false">(Responses!$L$3=SUMIFS(Sequence!$E:$E,Sequence!$A:$A,$B$2,Sequence!$B:$B,1))*1+(Responses!$M$3=SUMIFS(Sequence!$F:$F,Sequence!$A:$A,$B$2,Sequence!$B:$B,1))*1+(Responses!$N$3=SUMIFS(Sequence!$G:$G,Sequence!$A:$A,$B$2,Sequence!$B:$B,1))*1</f>
        <v>2</v>
      </c>
      <c r="K2" s="8" t="str">
        <f aca="false">IF(Responses!$L$3="","",IF(J2&lt;=1,"X",IF(J2=3,"Y","–")))</f>
        <v>–</v>
      </c>
      <c r="L2" s="8" t="str">
        <f aca="false">IF(OR(I2="A",Responses!$O$3=""),"",ROUND(_xlfn.MAXIFS(Data!$J$2:$J$26,Data!$B$2:$B$26,SUMIFS(Sequence!$C:$C,Sequence!$A:$A,$B$2,Sequence!$B:$B,1),Data!$H$2:$H$26,1)-SUMIFS(Data!$J$2:$J$26,Data!$A$2:$A$26,SUMIFS(Sequence!$C:$C,Sequence!$A:$A,$B$2,Sequence!$B:$B,1)&amp;"|"&amp;IF(I2="R",INDEX(Repetition!$D$2:$D$20,MATCH($B$2&amp;"|"&amp;Responses!$O$3,Repetition!$A$2:$A$20,0)),Responses!$O$3)),3))</f>
        <v/>
      </c>
      <c r="M2" s="8" t="str">
        <f aca="false">IF(I2="A","",ROUND(_xlfn.MAXIFS(Data!$J$2:$J$26,Data!$B$2:$B$26,SUMIFS(Sequence!$C:$C,Sequence!$A:$A,$B$2,Sequence!$B:$B,1),Data!$H$2:$H$26,1)-SUMIFS(Data!$J$2:$J$26,Data!$A$2:$A$26,SUMIFS(Sequence!$C:$C,Sequence!$A:$A,$B$2,Sequence!$B:$B,1)&amp;"|"&amp;"N"),3))</f>
        <v/>
      </c>
      <c r="N2" s="8" t="str">
        <f aca="false">IF(L2="","",IF(OR(L2&gt;=0.5,AND(M2&gt;0.1,L2&gt;=M2)),"X",IF(L2&lt;=0.1,"Y","–")))</f>
        <v/>
      </c>
      <c r="O2" s="8" t="str">
        <f aca="false">IF(OR(I2="A",Responses!$P$3="",Responses!$P$3=0),"",IF(_xlfn.MAXIFS(Data!$J$2:$J$26,Data!$B$2:$B$26,SUMIFS(Sequence!$C:$C,Sequence!$A:$A,$B$2,Sequence!$B:$B,1),Data!$I$2:$I$26,1)-SUMIFS(Data!$J$2:$J$26,Data!$A$2:$A$26,SUMIFS(Sequence!$C:$C,Sequence!$A:$A,$B$2,Sequence!$B:$B,1)&amp;"|"&amp;INDEX(Selector!$D$2:$D$37,MATCH(SUMIFS(Sequence!$C:$C,Sequence!$A:$A,$B$2,Sequence!$B:$B,1)*100+ROUND(Responses!$P$3*10,0),Selector!$A$2:$A$37,0)))&gt;=0.3,"X",IF(_xlfn.MAXIFS(Data!$J$2:$J$26,Data!$B$2:$B$26,SUMIFS(Sequence!$C:$C,Sequence!$A:$A,$B$2,Sequence!$B:$B,1),Data!$I$2:$I$26,1)-SUMIFS(Data!$J$2:$J$26,Data!$A$2:$A$26,SUMIFS(Sequence!$C:$C,Sequence!$A:$A,$B$2,Sequence!$B:$B,1)&amp;"|"&amp;INDEX(Selector!$D$2:$D$37,MATCH(SUMIFS(Sequence!$C:$C,Sequence!$A:$A,$B$2,Sequence!$B:$B,1)*100+ROUND(Responses!$P$3*10,0),Selector!$A$2:$A$37,0)))&lt;=0.05,"Y","–")))</f>
        <v/>
      </c>
      <c r="P2" s="8" t="str">
        <f aca="false">IF(OR(I2&lt;&gt;"A",Responses!$O$3=""),"",IF(AND(Responses!$O$3=1,Responses!$Q$3&gt;=6,Responses!$D$3+Responses!$E$3&gt;=6),"X",IF(OR(AND(Responses!$O$3&gt;=2,Responses!$D$3+Responses!$E$3&gt;=6),AND(Responses!$O$3=1,Responses!$C$3&gt;=7)),"Y","–")))</f>
        <v>Y</v>
      </c>
      <c r="Q2" s="8" t="str">
        <f aca="false">INDEX(Sequence!$D$2:$D$11,MATCH(1,INDEX((Sequence!$A$2:$A$11=$B$2)*(Sequence!$B$2:$B$11=2),0),0))</f>
        <v>A</v>
      </c>
      <c r="R2" s="8" t="n">
        <f aca="false">(Responses!$R$3=SUMIFS(Sequence!$E:$E,Sequence!$A:$A,$B$2,Sequence!$B:$B,2))*1+(Responses!$S$3=SUMIFS(Sequence!$F:$F,Sequence!$A:$A,$B$2,Sequence!$B:$B,2))*1+(Responses!$T$3=SUMIFS(Sequence!$G:$G,Sequence!$A:$A,$B$2,Sequence!$B:$B,2))*1</f>
        <v>2</v>
      </c>
      <c r="S2" s="8" t="str">
        <f aca="false">IF(Responses!$R$3="","",IF(R2&lt;=1,"X",IF(R2=3,"Y","–")))</f>
        <v>–</v>
      </c>
      <c r="T2" s="8" t="str">
        <f aca="false">IF(OR(Q2="A",Responses!$U$3=""),"",ROUND(_xlfn.MAXIFS(Data!$J$2:$J$26,Data!$B$2:$B$26,SUMIFS(Sequence!$C:$C,Sequence!$A:$A,$B$2,Sequence!$B:$B,2),Data!$H$2:$H$26,1)-SUMIFS(Data!$J$2:$J$26,Data!$A$2:$A$26,SUMIFS(Sequence!$C:$C,Sequence!$A:$A,$B$2,Sequence!$B:$B,2)&amp;"|"&amp;IF(Q2="R",INDEX(Repetition!$D$2:$D$20,MATCH($B$2&amp;"|"&amp;Responses!$U$3,Repetition!$A$2:$A$20,0)),Responses!$U$3)),3))</f>
        <v/>
      </c>
      <c r="U2" s="8" t="str">
        <f aca="false">IF(Q2="A","",ROUND(_xlfn.MAXIFS(Data!$J$2:$J$26,Data!$B$2:$B$26,SUMIFS(Sequence!$C:$C,Sequence!$A:$A,$B$2,Sequence!$B:$B,2),Data!$H$2:$H$26,1)-SUMIFS(Data!$J$2:$J$26,Data!$A$2:$A$26,SUMIFS(Sequence!$C:$C,Sequence!$A:$A,$B$2,Sequence!$B:$B,2)&amp;"|"&amp;"N"),3))</f>
        <v/>
      </c>
      <c r="V2" s="8" t="str">
        <f aca="false">IF(T2="","",IF(OR(T2&gt;=0.5,AND(U2&gt;0.1,T2&gt;=U2)),"X",IF(T2&lt;=0.1,"Y","–")))</f>
        <v/>
      </c>
      <c r="W2" s="8" t="str">
        <f aca="false">IF(OR(Q2="A",Responses!$V$3="",Responses!$V$3=0),"",IF(_xlfn.MAXIFS(Data!$J$2:$J$26,Data!$B$2:$B$26,SUMIFS(Sequence!$C:$C,Sequence!$A:$A,$B$2,Sequence!$B:$B,2),Data!$I$2:$I$26,1)-SUMIFS(Data!$J$2:$J$26,Data!$A$2:$A$26,SUMIFS(Sequence!$C:$C,Sequence!$A:$A,$B$2,Sequence!$B:$B,2)&amp;"|"&amp;INDEX(Selector!$D$2:$D$37,MATCH(SUMIFS(Sequence!$C:$C,Sequence!$A:$A,$B$2,Sequence!$B:$B,2)*100+ROUND(Responses!$V$3*10,0),Selector!$A$2:$A$37,0)))&gt;=0.3,"X",IF(_xlfn.MAXIFS(Data!$J$2:$J$26,Data!$B$2:$B$26,SUMIFS(Sequence!$C:$C,Sequence!$A:$A,$B$2,Sequence!$B:$B,2),Data!$I$2:$I$26,1)-SUMIFS(Data!$J$2:$J$26,Data!$A$2:$A$26,SUMIFS(Sequence!$C:$C,Sequence!$A:$A,$B$2,Sequence!$B:$B,2)&amp;"|"&amp;INDEX(Selector!$D$2:$D$37,MATCH(SUMIFS(Sequence!$C:$C,Sequence!$A:$A,$B$2,Sequence!$B:$B,2)*100+ROUND(Responses!$V$3*10,0),Selector!$A$2:$A$37,0)))&lt;=0.05,"Y","–")))</f>
        <v/>
      </c>
      <c r="X2" s="8" t="str">
        <f aca="false">IF(OR(Q2&lt;&gt;"A",Responses!$U$3=""),"",IF(AND(Responses!$U$3=1,Responses!$W$3&gt;=6,Responses!$D$3+Responses!$E$3&gt;=6),"X",IF(OR(AND(Responses!$U$3&gt;=2,Responses!$D$3+Responses!$E$3&gt;=6),AND(Responses!$U$3=1,Responses!$C$3&gt;=7)),"Y","–")))</f>
        <v>Y</v>
      </c>
      <c r="Y2" s="8" t="str">
        <f aca="false">INDEX(Sequence!$D$2:$D$11,MATCH(1,INDEX((Sequence!$A$2:$A$11=$B$2)*(Sequence!$B$2:$B$11=3),0),0))</f>
        <v>B</v>
      </c>
      <c r="Z2" s="8" t="n">
        <f aca="false">(Responses!$X$3=SUMIFS(Sequence!$E:$E,Sequence!$A:$A,$B$2,Sequence!$B:$B,3))*1+(Responses!$Y$3=SUMIFS(Sequence!$F:$F,Sequence!$A:$A,$B$2,Sequence!$B:$B,3))*1+(Responses!$Z$3=SUMIFS(Sequence!$G:$G,Sequence!$A:$A,$B$2,Sequence!$B:$B,3))*1</f>
        <v>3</v>
      </c>
      <c r="AA2" s="8" t="str">
        <f aca="false">IF(Responses!$X$3="","",IF(Z2&lt;=1,"X",IF(Z2=3,"Y","–")))</f>
        <v>Y</v>
      </c>
      <c r="AB2" s="8" t="n">
        <f aca="false">IF(OR(Y2="A",Responses!$AA$3=""),"",ROUND(_xlfn.MAXIFS(Data!$J$2:$J$26,Data!$B$2:$B$26,SUMIFS(Sequence!$C:$C,Sequence!$A:$A,$B$2,Sequence!$B:$B,3),Data!$H$2:$H$26,1)-SUMIFS(Data!$J$2:$J$26,Data!$A$2:$A$26,SUMIFS(Sequence!$C:$C,Sequence!$A:$A,$B$2,Sequence!$B:$B,3)&amp;"|"&amp;IF(Y2="R",INDEX(Repetition!$D$2:$D$20,MATCH($B$2&amp;"|"&amp;Responses!$AA$3,Repetition!$A$2:$A$20,0)),Responses!$AA$3)),3))</f>
        <v>0.152</v>
      </c>
      <c r="AC2" s="8" t="n">
        <f aca="false">IF(Y2="A","",ROUND(_xlfn.MAXIFS(Data!$J$2:$J$26,Data!$B$2:$B$26,SUMIFS(Sequence!$C:$C,Sequence!$A:$A,$B$2,Sequence!$B:$B,3),Data!$H$2:$H$26,1)-SUMIFS(Data!$J$2:$J$26,Data!$A$2:$A$26,SUMIFS(Sequence!$C:$C,Sequence!$A:$A,$B$2,Sequence!$B:$B,3)&amp;"|"&amp;"N"),3))</f>
        <v>0.893</v>
      </c>
      <c r="AD2" s="8" t="str">
        <f aca="false">IF(AB2="","",IF(OR(AB2&gt;=0.5,AND(AC2&gt;0.1,AB2&gt;=AC2)),"X",IF(AB2&lt;=0.1,"Y","–")))</f>
        <v>–</v>
      </c>
      <c r="AE2" s="8" t="str">
        <f aca="false">IF(OR(Y2="A",Responses!$AB$3="",Responses!$AB$3=0),"",IF(_xlfn.MAXIFS(Data!$J$2:$J$26,Data!$B$2:$B$26,SUMIFS(Sequence!$C:$C,Sequence!$A:$A,$B$2,Sequence!$B:$B,3),Data!$I$2:$I$26,1)-SUMIFS(Data!$J$2:$J$26,Data!$A$2:$A$26,SUMIFS(Sequence!$C:$C,Sequence!$A:$A,$B$2,Sequence!$B:$B,3)&amp;"|"&amp;INDEX(Selector!$D$2:$D$37,MATCH(SUMIFS(Sequence!$C:$C,Sequence!$A:$A,$B$2,Sequence!$B:$B,3)*100+ROUND(Responses!$AB$3*10,0),Selector!$A$2:$A$37,0)))&gt;=0.3,"X",IF(_xlfn.MAXIFS(Data!$J$2:$J$26,Data!$B$2:$B$26,SUMIFS(Sequence!$C:$C,Sequence!$A:$A,$B$2,Sequence!$B:$B,3),Data!$I$2:$I$26,1)-SUMIFS(Data!$J$2:$J$26,Data!$A$2:$A$26,SUMIFS(Sequence!$C:$C,Sequence!$A:$A,$B$2,Sequence!$B:$B,3)&amp;"|"&amp;INDEX(Selector!$D$2:$D$37,MATCH(SUMIFS(Sequence!$C:$C,Sequence!$A:$A,$B$2,Sequence!$B:$B,3)*100+ROUND(Responses!$AB$3*10,0),Selector!$A$2:$A$37,0)))&lt;=0.05,"Y","–")))</f>
        <v>–</v>
      </c>
      <c r="AF2" s="8" t="str">
        <f aca="false">IF(OR(Y2&lt;&gt;"A",Responses!$AA$3=""),"",IF(AND(Responses!$AA$3=1,Responses!$AC$3&gt;=6,Responses!$D$3+Responses!$E$3&gt;=6),"X",IF(OR(AND(Responses!$AA$3&gt;=2,Responses!$D$3+Responses!$E$3&gt;=6),AND(Responses!$AA$3=1,Responses!$C$3&gt;=7)),"Y","–")))</f>
        <v/>
      </c>
      <c r="AG2" s="8" t="str">
        <f aca="false">INDEX(Sequence!$D$2:$D$11,MATCH(1,INDEX((Sequence!$A$2:$A$11=$B$2)*(Sequence!$B$2:$B$11=4),0),0))</f>
        <v>B</v>
      </c>
      <c r="AH2" s="8" t="n">
        <f aca="false">(Responses!$AD$3=SUMIFS(Sequence!$E:$E,Sequence!$A:$A,$B$2,Sequence!$B:$B,4))*1+(Responses!$AE$3=SUMIFS(Sequence!$F:$F,Sequence!$A:$A,$B$2,Sequence!$B:$B,4))*1+(Responses!$AF$3=SUMIFS(Sequence!$G:$G,Sequence!$A:$A,$B$2,Sequence!$B:$B,4))*1</f>
        <v>3</v>
      </c>
      <c r="AI2" s="8" t="str">
        <f aca="false">IF(Responses!$AD$3="","",IF(AH2&lt;=1,"X",IF(AH2=3,"Y","–")))</f>
        <v>Y</v>
      </c>
      <c r="AJ2" s="8" t="n">
        <f aca="false">IF(OR(AG2="A",Responses!$AG$3=""),"",ROUND(_xlfn.MAXIFS(Data!$J$2:$J$26,Data!$B$2:$B$26,SUMIFS(Sequence!$C:$C,Sequence!$A:$A,$B$2,Sequence!$B:$B,4),Data!$H$2:$H$26,1)-SUMIFS(Data!$J$2:$J$26,Data!$A$2:$A$26,SUMIFS(Sequence!$C:$C,Sequence!$A:$A,$B$2,Sequence!$B:$B,4)&amp;"|"&amp;IF(AG2="R",INDEX(Repetition!$D$2:$D$20,MATCH($B$2&amp;"|"&amp;Responses!$AG$3,Repetition!$A$2:$A$20,0)),Responses!$AG$3)),3))</f>
        <v>0</v>
      </c>
      <c r="AK2" s="8" t="n">
        <f aca="false">IF(AG2="A","",ROUND(_xlfn.MAXIFS(Data!$J$2:$J$26,Data!$B$2:$B$26,SUMIFS(Sequence!$C:$C,Sequence!$A:$A,$B$2,Sequence!$B:$B,4),Data!$H$2:$H$26,1)-SUMIFS(Data!$J$2:$J$26,Data!$A$2:$A$26,SUMIFS(Sequence!$C:$C,Sequence!$A:$A,$B$2,Sequence!$B:$B,4)&amp;"|"&amp;"N"),3))</f>
        <v>1.202</v>
      </c>
      <c r="AL2" s="8" t="str">
        <f aca="false">IF(AJ2="","",IF(OR(AJ2&gt;=0.5,AND(AK2&gt;0.1,AJ2&gt;=AK2)),"X",IF(AJ2&lt;=0.1,"Y","–")))</f>
        <v>Y</v>
      </c>
      <c r="AM2" s="8" t="str">
        <f aca="false">IF(OR(AG2="A",Responses!$AH$3="",Responses!$AH$3=0),"",IF(_xlfn.MAXIFS(Data!$J$2:$J$26,Data!$B$2:$B$26,SUMIFS(Sequence!$C:$C,Sequence!$A:$A,$B$2,Sequence!$B:$B,4),Data!$I$2:$I$26,1)-SUMIFS(Data!$J$2:$J$26,Data!$A$2:$A$26,SUMIFS(Sequence!$C:$C,Sequence!$A:$A,$B$2,Sequence!$B:$B,4)&amp;"|"&amp;INDEX(Selector!$D$2:$D$37,MATCH(SUMIFS(Sequence!$C:$C,Sequence!$A:$A,$B$2,Sequence!$B:$B,4)*100+ROUND(Responses!$AH$3*10,0),Selector!$A$2:$A$37,0)))&gt;=0.3,"X",IF(_xlfn.MAXIFS(Data!$J$2:$J$26,Data!$B$2:$B$26,SUMIFS(Sequence!$C:$C,Sequence!$A:$A,$B$2,Sequence!$B:$B,4),Data!$I$2:$I$26,1)-SUMIFS(Data!$J$2:$J$26,Data!$A$2:$A$26,SUMIFS(Sequence!$C:$C,Sequence!$A:$A,$B$2,Sequence!$B:$B,4)&amp;"|"&amp;INDEX(Selector!$D$2:$D$37,MATCH(SUMIFS(Sequence!$C:$C,Sequence!$A:$A,$B$2,Sequence!$B:$B,4)*100+ROUND(Responses!$AH$3*10,0),Selector!$A$2:$A$37,0)))&lt;=0.05,"Y","–")))</f>
        <v>Y</v>
      </c>
      <c r="AN2" s="8" t="str">
        <f aca="false">IF(OR(AG2&lt;&gt;"A",Responses!$AG$3=""),"",IF(AND(Responses!$AG$3=1,Responses!$AI$3&gt;=6,Responses!$D$3+Responses!$E$3&gt;=6),"X",IF(OR(AND(Responses!$AG$3&gt;=2,Responses!$D$3+Responses!$E$3&gt;=6),AND(Responses!$AG$3=1,Responses!$C$3&gt;=7)),"Y","–")))</f>
        <v/>
      </c>
      <c r="AO2" s="8" t="str">
        <f aca="false">INDEX(Sequence!$D$2:$D$11,MATCH(1,INDEX((Sequence!$A$2:$A$11=$B$2)*(Sequence!$B$2:$B$11=5),0),0))</f>
        <v>R</v>
      </c>
      <c r="AP2" s="8" t="n">
        <f aca="false">(Responses!$AJ$3=SUMIFS(Sequence!$E:$E,Sequence!$A:$A,$B$2,Sequence!$B:$B,5))*1+(Responses!$AK$3=SUMIFS(Sequence!$F:$F,Sequence!$A:$A,$B$2,Sequence!$B:$B,5))*1+(Responses!$AL$3=SUMIFS(Sequence!$G:$G,Sequence!$A:$A,$B$2,Sequence!$B:$B,5))*1</f>
        <v>2</v>
      </c>
      <c r="AQ2" s="8" t="str">
        <f aca="false">IF(Responses!$AJ$3="","",IF(AP2&lt;=1,"X",IF(AP2=3,"Y","–")))</f>
        <v>–</v>
      </c>
      <c r="AR2" s="8" t="n">
        <f aca="false">IF(OR(AO2="A",Responses!$AM$3=""),"",ROUND(_xlfn.MAXIFS(Data!$J$2:$J$26,Data!$B$2:$B$26,SUMIFS(Sequence!$C:$C,Sequence!$A:$A,$B$2,Sequence!$B:$B,5),Data!$H$2:$H$26,1)-SUMIFS(Data!$J$2:$J$26,Data!$A$2:$A$26,SUMIFS(Sequence!$C:$C,Sequence!$A:$A,$B$2,Sequence!$B:$B,5)&amp;"|"&amp;IF(AO2="R",INDEX(Repetition!$D$2:$D$20,MATCH($B$2&amp;"|"&amp;Responses!$AM$3,Repetition!$A$2:$A$20,0)),Responses!$AM$3)),3))</f>
        <v>0</v>
      </c>
      <c r="AS2" s="8" t="n">
        <f aca="false">IF(AO2="A","",ROUND(_xlfn.MAXIFS(Data!$J$2:$J$26,Data!$B$2:$B$26,SUMIFS(Sequence!$C:$C,Sequence!$A:$A,$B$2,Sequence!$B:$B,5),Data!$H$2:$H$26,1)-SUMIFS(Data!$J$2:$J$26,Data!$A$2:$A$26,SUMIFS(Sequence!$C:$C,Sequence!$A:$A,$B$2,Sequence!$B:$B,5)&amp;"|"&amp;"N"),3))</f>
        <v>0.893</v>
      </c>
      <c r="AT2" s="8" t="str">
        <f aca="false">IF(AR2="","",IF(OR(AR2&gt;=0.5,AND(AS2&gt;0.1,AR2&gt;=AS2)),"X",IF(AR2&lt;=0.1,"Y","–")))</f>
        <v>Y</v>
      </c>
      <c r="AU2" s="8" t="str">
        <f aca="false">IF(OR(AO2="A",Responses!$AN$3="",Responses!$AN$3=0),"",IF(_xlfn.MAXIFS(Data!$J$2:$J$26,Data!$B$2:$B$26,SUMIFS(Sequence!$C:$C,Sequence!$A:$A,$B$2,Sequence!$B:$B,5),Data!$I$2:$I$26,1)-SUMIFS(Data!$J$2:$J$26,Data!$A$2:$A$26,SUMIFS(Sequence!$C:$C,Sequence!$A:$A,$B$2,Sequence!$B:$B,5)&amp;"|"&amp;INDEX(Selector!$D$2:$D$37,MATCH(SUMIFS(Sequence!$C:$C,Sequence!$A:$A,$B$2,Sequence!$B:$B,5)*100+ROUND(Responses!$AN$3*10,0),Selector!$A$2:$A$37,0)))&gt;=0.3,"X",IF(_xlfn.MAXIFS(Data!$J$2:$J$26,Data!$B$2:$B$26,SUMIFS(Sequence!$C:$C,Sequence!$A:$A,$B$2,Sequence!$B:$B,5),Data!$I$2:$I$26,1)-SUMIFS(Data!$J$2:$J$26,Data!$A$2:$A$26,SUMIFS(Sequence!$C:$C,Sequence!$A:$A,$B$2,Sequence!$B:$B,5)&amp;"|"&amp;INDEX(Selector!$D$2:$D$37,MATCH(SUMIFS(Sequence!$C:$C,Sequence!$A:$A,$B$2,Sequence!$B:$B,5)*100+ROUND(Responses!$AN$3*10,0),Selector!$A$2:$A$37,0)))&lt;=0.05,"Y","–")))</f>
        <v>Y</v>
      </c>
      <c r="AV2" s="8" t="str">
        <f aca="false">IF(OR(AO2&lt;&gt;"A",Responses!$AM$3=""),"",IF(AND(Responses!$AM$3=1,Responses!$AO$3&gt;=6,Responses!$D$3+Responses!$E$3&gt;=6),"X",IF(OR(AND(Responses!$AM$3&gt;=2,Responses!$D$3+Responses!$E$3&gt;=6),AND(Responses!$AM$3=1,Responses!$C$3&gt;=7)),"Y","–")))</f>
        <v/>
      </c>
      <c r="AW2" s="8" t="str">
        <f aca="false">IF(Responses!$BE$3="","",IF(OR(Responses!$BE$3&lt;25,Responses!$BE$3&gt;150),"X",IF(AND(Responses!$BE$3&gt;=45,Responses!$BE$3&lt;=100),"Y","–")))</f>
        <v/>
      </c>
      <c r="AX2" s="8" t="n">
        <f aca="false">IF(OR(AR2="",IF($B$2="X",AB2,L2)=""),"",ABS(AR2-IF($B$2="X",AB2,L2)))</f>
        <v>0.152</v>
      </c>
      <c r="AY2" s="8" t="str">
        <f aca="false">IF(AX2="","",IF(AX2&gt;0.25,"X",IF(AX2=0,"Y","–")))</f>
        <v>–</v>
      </c>
      <c r="AZ2" s="8" t="n">
        <f aca="false">(Responses!$AP$3=INDEX(VignetteKeys!$B$2:$B$3,MATCH($B$2,VignetteKeys!$A$2:$A$3,0)))*1+(Responses!$AQ$3=INDEX(VignetteKeys!$C$2:$C$3,MATCH($B$2,VignetteKeys!$A$2:$A$3,0)))*1+(Responses!$AR$3=INDEX(VignetteKeys!$D$2:$D$3,MATCH($B$2,VignetteKeys!$A$2:$A$3,0)))*1+(Responses!$AS$3=INDEX(VignetteKeys!$E$2:$E$3,MATCH($B$2,VignetteKeys!$A$2:$A$3,0)))*1</f>
        <v>2</v>
      </c>
      <c r="BA2" s="8" t="str">
        <f aca="false">IF(Responses!$AP$3="","",IF(OR(AND(Responses!$AP$3&lt;&gt;INDEX(VignetteKeys!$B$2:$B$3,MATCH($B$2,VignetteKeys!$A$2:$A$3,0)),Responses!$AQ$3&lt;&gt;INDEX(VignetteKeys!$C$2:$C$3,MATCH($B$2,VignetteKeys!$A$2:$A$3,0))),AND(Responses!$AR$3&lt;&gt;INDEX(VignetteKeys!$D$2:$D$3,MATCH($B$2,VignetteKeys!$A$2:$A$3,0)),Responses!$AS$3&lt;&gt;INDEX(VignetteKeys!$E$2:$E$3,MATCH($B$2,VignetteKeys!$A$2:$A$3,0)))),"X",IF(AZ2=4,"Y","–")))</f>
        <v>–</v>
      </c>
      <c r="BB2" s="8" t="str">
        <f aca="false">IF(Responses!$AT$3="","",IF(Responses!$AT$3&lt;&gt;4,"X","Y"))</f>
        <v>Y</v>
      </c>
      <c r="BC2" s="8" t="n">
        <f aca="false">IF(COUNT(Responses!$AU$3:$BD$3)&lt;10,"",((Responses!$AU$3-1)+(Responses!$AW$3-1)+(Responses!$AY$3-1)+(Responses!$BA$3-1)+(Responses!$BC$3-1)+(5-Responses!$AV$3)+(5-Responses!$AX$3)+(5-Responses!$AZ$3)+(5-Responses!$BB$3)+(5-Responses!$BD$3))*2.5)</f>
        <v>62.5</v>
      </c>
      <c r="BD2" s="8" t="str">
        <f aca="false">IF(BC2="","",IF(BC2&lt;50,"X",IF(BC2&gt;=68,"Y","–")))</f>
        <v>–</v>
      </c>
      <c r="BE2" s="8" t="n">
        <f aca="false">IF((IF(AND(I2&lt;&gt;"A",ISNUMBER(Responses!$Q$3)),1,0)+IF(AND(Q2&lt;&gt;"A",ISNUMBER(Responses!$W$3)),1,0)+IF(AND(Y2&lt;&gt;"A",ISNUMBER(Responses!$AC$3)),1,0)+IF(AND(AG2&lt;&gt;"A",ISNUMBER(Responses!$AI$3)),1,0)+IF(AND(AO2&lt;&gt;"A",ISNUMBER(Responses!$AO$3)),1,0))=0,"",ROUND((IF(AND(I2&lt;&gt;"A",ISNUMBER(Responses!$Q$3)),Responses!$Q$3,0)+IF(AND(Q2&lt;&gt;"A",ISNUMBER(Responses!$W$3)),Responses!$W$3,0)+IF(AND(Y2&lt;&gt;"A",ISNUMBER(Responses!$AC$3)),Responses!$AC$3,0)+IF(AND(AG2&lt;&gt;"A",ISNUMBER(Responses!$AI$3)),Responses!$AI$3,0)+IF(AND(AO2&lt;&gt;"A",ISNUMBER(Responses!$AO$3)),Responses!$AO$3,0))/(IF(AND(I2&lt;&gt;"A",ISNUMBER(Responses!$Q$3)),1,0)+IF(AND(Q2&lt;&gt;"A",ISNUMBER(Responses!$W$3)),1,0)+IF(AND(Y2&lt;&gt;"A",ISNUMBER(Responses!$AC$3)),1,0)+IF(AND(AG2&lt;&gt;"A",ISNUMBER(Responses!$AI$3)),1,0)+IF(AND(AO2&lt;&gt;"A",ISNUMBER(Responses!$AO$3)),1,0)),2))</f>
        <v>6</v>
      </c>
      <c r="BF2" s="8" t="n">
        <f aca="false">IF((IF(AND(I2="A",ISNUMBER(Responses!$Q$3)),1,0)+IF(AND(Q2="A",ISNUMBER(Responses!$W$3)),1,0)+IF(AND(Y2="A",ISNUMBER(Responses!$AC$3)),1,0)+IF(AND(AG2="A",ISNUMBER(Responses!$AI$3)),1,0)+IF(AND(AO2="A",ISNUMBER(Responses!$AO$3)),1,0))=0,"",ROUND((IF(AND(I2="A",ISNUMBER(Responses!$Q$3)),Responses!$Q$3,0)+IF(AND(Q2="A",ISNUMBER(Responses!$W$3)),Responses!$W$3,0)+IF(AND(Y2="A",ISNUMBER(Responses!$AC$3)),Responses!$AC$3,0)+IF(AND(AG2="A",ISNUMBER(Responses!$AI$3)),Responses!$AI$3,0)+IF(AND(AO2="A",ISNUMBER(Responses!$AO$3)),Responses!$AO$3,0))/(IF(AND(I2="A",ISNUMBER(Responses!$Q$3)),1,0)+IF(AND(Q2="A",ISNUMBER(Responses!$W$3)),1,0)+IF(AND(Y2="A",ISNUMBER(Responses!$AC$3)),1,0)+IF(AND(AG2="A",ISNUMBER(Responses!$AI$3)),1,0)+IF(AND(AO2="A",ISNUMBER(Responses!$AO$3)),1,0)),2))</f>
        <v>5</v>
      </c>
      <c r="BG2" s="8" t="str">
        <f aca="false">IF(OR(BE2="",BF2=""),"",IF(BF2-BE2&gt;=3,"X",IF(BE2&gt;=BF2,"Y","–")))</f>
        <v>Y</v>
      </c>
      <c r="BH2" s="8" t="n">
        <f aca="false">(D2="X")*1+(F2="X")*1+(H2="X")*1+(K2="X")*1+(N2="X")*1+(O2="X")*1+(P2="X")*1+(S2="X")*1+(V2="X")*1+(W2="X")*1+(X2="X")*1+(AA2="X")*1+(AD2="X")*1+(AE2="X")*1+(AF2="X")*1+(AI2="X")*1+(AL2="X")*1+(AM2="X")*1+(AN2="X")*1+(AQ2="X")*1+(AT2="X")*1+(AU2="X")*1+(AV2="X")*1+(AW2="X")*1+(AY2="X")*1+(BA2="X")*1+(BB2="X")*1+(BD2="X")*1+(BG2="X")*1</f>
        <v>0</v>
      </c>
    </row>
    <row r="3" customFormat="false" ht="15" hidden="false" customHeight="false" outlineLevel="0" collapsed="false">
      <c r="A3" s="4" t="str">
        <f aca="false">Responses!$A$4</f>
        <v>P02</v>
      </c>
      <c r="B3" s="4" t="str">
        <f aca="false">Responses!$B$4</f>
        <v>Y</v>
      </c>
      <c r="C3" s="8" t="n">
        <f aca="false">SUM(Responses!$C$4,Responses!$D$4,Responses!$E$4)</f>
        <v>10</v>
      </c>
      <c r="D3" s="8" t="str">
        <f aca="false">IF(C3=0,"",IF(C3&lt;&gt;10,"X","Y"))</f>
        <v>Y</v>
      </c>
      <c r="E3" s="8" t="n">
        <f aca="false">IF(OR(Responses!$F$4="",Responses!$F$4&gt;6),"",MAX(ABS(Responses!$C$4-INDEX(Profiles!$C$2:$C$7,Responses!$F$4)),ABS(Responses!$D$4-INDEX(Profiles!$D$2:$D$7,Responses!$F$4)),ABS(Responses!$E$4-INDEX(Profiles!$E$2:$E$7,Responses!$F$4))))</f>
        <v>2</v>
      </c>
      <c r="F3" s="8" t="str">
        <f aca="false">IF(E3="","",IF(E3&gt;=4,"X",IF(E3&lt;=2,"Y","–")))</f>
        <v>Y</v>
      </c>
      <c r="G3" s="8" t="n">
        <f aca="false">(Responses!$G$4=2)*1+(Responses!$H$4=1)*1+(Responses!$I$4=2)*1+(Responses!$J$4=2)*1+(Responses!$K$4=2)*1</f>
        <v>5</v>
      </c>
      <c r="H3" s="8" t="str">
        <f aca="false">IF(Responses!$G$4="","",IF(G3&lt;=3,"X",IF(G3=5,"Y","–")))</f>
        <v>Y</v>
      </c>
      <c r="I3" s="8" t="str">
        <f aca="false">INDEX(Sequence!$D$2:$D$11,MATCH(1,INDEX((Sequence!$A$2:$A$11=$B$3)*(Sequence!$B$2:$B$11=1),0),0))</f>
        <v>B</v>
      </c>
      <c r="J3" s="8" t="n">
        <f aca="false">(Responses!$L$4=SUMIFS(Sequence!$E:$E,Sequence!$A:$A,$B$3,Sequence!$B:$B,1))*1+(Responses!$M$4=SUMIFS(Sequence!$F:$F,Sequence!$A:$A,$B$3,Sequence!$B:$B,1))*1+(Responses!$N$4=SUMIFS(Sequence!$G:$G,Sequence!$A:$A,$B$3,Sequence!$B:$B,1))*1</f>
        <v>3</v>
      </c>
      <c r="K3" s="8" t="str">
        <f aca="false">IF(Responses!$L$4="","",IF(J3&lt;=1,"X",IF(J3=3,"Y","–")))</f>
        <v>Y</v>
      </c>
      <c r="L3" s="8" t="n">
        <f aca="false">IF(OR(I3="A",Responses!$O$4=""),"",ROUND(_xlfn.MAXIFS(Data!$K$2:$K$26,Data!$B$2:$B$26,SUMIFS(Sequence!$C:$C,Sequence!$A:$A,$B$3,Sequence!$B:$B,1),Data!$H$2:$H$26,1)-SUMIFS(Data!$K$2:$K$26,Data!$A$2:$A$26,SUMIFS(Sequence!$C:$C,Sequence!$A:$A,$B$3,Sequence!$B:$B,1)&amp;"|"&amp;IF(I3="R",INDEX(Repetition!$D$2:$D$20,MATCH($B$3&amp;"|"&amp;Responses!$O$4,Repetition!$A$2:$A$20,0)),Responses!$O$4)),3))</f>
        <v>0</v>
      </c>
      <c r="M3" s="8" t="n">
        <f aca="false">IF(I3="A","",ROUND(_xlfn.MAXIFS(Data!$K$2:$K$26,Data!$B$2:$B$26,SUMIFS(Sequence!$C:$C,Sequence!$A:$A,$B$3,Sequence!$B:$B,1),Data!$H$2:$H$26,1)-SUMIFS(Data!$K$2:$K$26,Data!$A$2:$A$26,SUMIFS(Sequence!$C:$C,Sequence!$A:$A,$B$3,Sequence!$B:$B,1)&amp;"|"&amp;"N"),3))</f>
        <v>1.543</v>
      </c>
      <c r="N3" s="8" t="str">
        <f aca="false">IF(L3="","",IF(OR(L3&gt;=0.5,AND(M3&gt;0.1,L3&gt;=M3)),"X",IF(L3&lt;=0.1,"Y","–")))</f>
        <v>Y</v>
      </c>
      <c r="O3" s="8" t="str">
        <f aca="false">IF(OR(I3="A",Responses!$P$4="",Responses!$P$4=0),"",IF(_xlfn.MAXIFS(Data!$K$2:$K$26,Data!$B$2:$B$26,SUMIFS(Sequence!$C:$C,Sequence!$A:$A,$B$3,Sequence!$B:$B,1),Data!$I$2:$I$26,1)-SUMIFS(Data!$K$2:$K$26,Data!$A$2:$A$26,SUMIFS(Sequence!$C:$C,Sequence!$A:$A,$B$3,Sequence!$B:$B,1)&amp;"|"&amp;INDEX(Selector!$D$2:$D$37,MATCH(SUMIFS(Sequence!$C:$C,Sequence!$A:$A,$B$3,Sequence!$B:$B,1)*100+ROUND(Responses!$P$4*10,0),Selector!$A$2:$A$37,0)))&gt;=0.3,"X",IF(_xlfn.MAXIFS(Data!$K$2:$K$26,Data!$B$2:$B$26,SUMIFS(Sequence!$C:$C,Sequence!$A:$A,$B$3,Sequence!$B:$B,1),Data!$I$2:$I$26,1)-SUMIFS(Data!$K$2:$K$26,Data!$A$2:$A$26,SUMIFS(Sequence!$C:$C,Sequence!$A:$A,$B$3,Sequence!$B:$B,1)&amp;"|"&amp;INDEX(Selector!$D$2:$D$37,MATCH(SUMIFS(Sequence!$C:$C,Sequence!$A:$A,$B$3,Sequence!$B:$B,1)*100+ROUND(Responses!$P$4*10,0),Selector!$A$2:$A$37,0)))&lt;=0.05,"Y","–")))</f>
        <v>X</v>
      </c>
      <c r="P3" s="8" t="str">
        <f aca="false">IF(OR(I3&lt;&gt;"A",Responses!$O$4=""),"",IF(AND(Responses!$O$4=1,Responses!$Q$4&gt;=6,Responses!$D$4+Responses!$E$4&gt;=6),"X",IF(OR(AND(Responses!$O$4&gt;=2,Responses!$D$4+Responses!$E$4&gt;=6),AND(Responses!$O$4=1,Responses!$C$4&gt;=7)),"Y","–")))</f>
        <v/>
      </c>
      <c r="Q3" s="8" t="str">
        <f aca="false">INDEX(Sequence!$D$2:$D$11,MATCH(1,INDEX((Sequence!$A$2:$A$11=$B$3)*(Sequence!$B$2:$B$11=2),0),0))</f>
        <v>B</v>
      </c>
      <c r="R3" s="8" t="n">
        <f aca="false">(Responses!$R$4=SUMIFS(Sequence!$E:$E,Sequence!$A:$A,$B$3,Sequence!$B:$B,2))*1+(Responses!$S$4=SUMIFS(Sequence!$F:$F,Sequence!$A:$A,$B$3,Sequence!$B:$B,2))*1+(Responses!$T$4=SUMIFS(Sequence!$G:$G,Sequence!$A:$A,$B$3,Sequence!$B:$B,2))*1</f>
        <v>3</v>
      </c>
      <c r="S3" s="8" t="str">
        <f aca="false">IF(Responses!$R$4="","",IF(R3&lt;=1,"X",IF(R3=3,"Y","–")))</f>
        <v>Y</v>
      </c>
      <c r="T3" s="8" t="n">
        <f aca="false">IF(OR(Q3="A",Responses!$U$4=""),"",ROUND(_xlfn.MAXIFS(Data!$K$2:$K$26,Data!$B$2:$B$26,SUMIFS(Sequence!$C:$C,Sequence!$A:$A,$B$3,Sequence!$B:$B,2),Data!$H$2:$H$26,1)-SUMIFS(Data!$K$2:$K$26,Data!$A$2:$A$26,SUMIFS(Sequence!$C:$C,Sequence!$A:$A,$B$3,Sequence!$B:$B,2)&amp;"|"&amp;IF(Q3="R",INDEX(Repetition!$D$2:$D$20,MATCH($B$3&amp;"|"&amp;Responses!$U$4,Repetition!$A$2:$A$20,0)),Responses!$U$4)),3))</f>
        <v>0</v>
      </c>
      <c r="U3" s="8" t="n">
        <f aca="false">IF(Q3="A","",ROUND(_xlfn.MAXIFS(Data!$K$2:$K$26,Data!$B$2:$B$26,SUMIFS(Sequence!$C:$C,Sequence!$A:$A,$B$3,Sequence!$B:$B,2),Data!$H$2:$H$26,1)-SUMIFS(Data!$K$2:$K$26,Data!$A$2:$A$26,SUMIFS(Sequence!$C:$C,Sequence!$A:$A,$B$3,Sequence!$B:$B,2)&amp;"|"&amp;"N"),3))</f>
        <v>0.729</v>
      </c>
      <c r="V3" s="8" t="str">
        <f aca="false">IF(T3="","",IF(OR(T3&gt;=0.5,AND(U3&gt;0.1,T3&gt;=U3)),"X",IF(T3&lt;=0.1,"Y","–")))</f>
        <v>Y</v>
      </c>
      <c r="W3" s="8" t="str">
        <f aca="false">IF(OR(Q3="A",Responses!$V$4="",Responses!$V$4=0),"",IF(_xlfn.MAXIFS(Data!$K$2:$K$26,Data!$B$2:$B$26,SUMIFS(Sequence!$C:$C,Sequence!$A:$A,$B$3,Sequence!$B:$B,2),Data!$I$2:$I$26,1)-SUMIFS(Data!$K$2:$K$26,Data!$A$2:$A$26,SUMIFS(Sequence!$C:$C,Sequence!$A:$A,$B$3,Sequence!$B:$B,2)&amp;"|"&amp;INDEX(Selector!$D$2:$D$37,MATCH(SUMIFS(Sequence!$C:$C,Sequence!$A:$A,$B$3,Sequence!$B:$B,2)*100+ROUND(Responses!$V$4*10,0),Selector!$A$2:$A$37,0)))&gt;=0.3,"X",IF(_xlfn.MAXIFS(Data!$K$2:$K$26,Data!$B$2:$B$26,SUMIFS(Sequence!$C:$C,Sequence!$A:$A,$B$3,Sequence!$B:$B,2),Data!$I$2:$I$26,1)-SUMIFS(Data!$K$2:$K$26,Data!$A$2:$A$26,SUMIFS(Sequence!$C:$C,Sequence!$A:$A,$B$3,Sequence!$B:$B,2)&amp;"|"&amp;INDEX(Selector!$D$2:$D$37,MATCH(SUMIFS(Sequence!$C:$C,Sequence!$A:$A,$B$3,Sequence!$B:$B,2)*100+ROUND(Responses!$V$4*10,0),Selector!$A$2:$A$37,0)))&lt;=0.05,"Y","–")))</f>
        <v>Y</v>
      </c>
      <c r="X3" s="8" t="str">
        <f aca="false">IF(OR(Q3&lt;&gt;"A",Responses!$U$4=""),"",IF(AND(Responses!$U$4=1,Responses!$W$4&gt;=6,Responses!$D$4+Responses!$E$4&gt;=6),"X",IF(OR(AND(Responses!$U$4&gt;=2,Responses!$D$4+Responses!$E$4&gt;=6),AND(Responses!$U$4=1,Responses!$C$4&gt;=7)),"Y","–")))</f>
        <v/>
      </c>
      <c r="Y3" s="8" t="str">
        <f aca="false">INDEX(Sequence!$D$2:$D$11,MATCH(1,INDEX((Sequence!$A$2:$A$11=$B$3)*(Sequence!$B$2:$B$11=3),0),0))</f>
        <v>A</v>
      </c>
      <c r="Z3" s="8" t="n">
        <f aca="false">(Responses!$X$4=SUMIFS(Sequence!$E:$E,Sequence!$A:$A,$B$3,Sequence!$B:$B,3))*1+(Responses!$Y$4=SUMIFS(Sequence!$F:$F,Sequence!$A:$A,$B$3,Sequence!$B:$B,3))*1+(Responses!$Z$4=SUMIFS(Sequence!$G:$G,Sequence!$A:$A,$B$3,Sequence!$B:$B,3))*1</f>
        <v>3</v>
      </c>
      <c r="AA3" s="8" t="str">
        <f aca="false">IF(Responses!$X$4="","",IF(Z3&lt;=1,"X",IF(Z3=3,"Y","–")))</f>
        <v>Y</v>
      </c>
      <c r="AB3" s="8" t="str">
        <f aca="false">IF(OR(Y3="A",Responses!$AA$4=""),"",ROUND(_xlfn.MAXIFS(Data!$K$2:$K$26,Data!$B$2:$B$26,SUMIFS(Sequence!$C:$C,Sequence!$A:$A,$B$3,Sequence!$B:$B,3),Data!$H$2:$H$26,1)-SUMIFS(Data!$K$2:$K$26,Data!$A$2:$A$26,SUMIFS(Sequence!$C:$C,Sequence!$A:$A,$B$3,Sequence!$B:$B,3)&amp;"|"&amp;IF(Y3="R",INDEX(Repetition!$D$2:$D$20,MATCH($B$3&amp;"|"&amp;Responses!$AA$4,Repetition!$A$2:$A$20,0)),Responses!$AA$4)),3))</f>
        <v/>
      </c>
      <c r="AC3" s="8" t="str">
        <f aca="false">IF(Y3="A","",ROUND(_xlfn.MAXIFS(Data!$K$2:$K$26,Data!$B$2:$B$26,SUMIFS(Sequence!$C:$C,Sequence!$A:$A,$B$3,Sequence!$B:$B,3),Data!$H$2:$H$26,1)-SUMIFS(Data!$K$2:$K$26,Data!$A$2:$A$26,SUMIFS(Sequence!$C:$C,Sequence!$A:$A,$B$3,Sequence!$B:$B,3)&amp;"|"&amp;"N"),3))</f>
        <v/>
      </c>
      <c r="AD3" s="8" t="str">
        <f aca="false">IF(AB3="","",IF(OR(AB3&gt;=0.5,AND(AC3&gt;0.1,AB3&gt;=AC3)),"X",IF(AB3&lt;=0.1,"Y","–")))</f>
        <v/>
      </c>
      <c r="AE3" s="8" t="str">
        <f aca="false">IF(OR(Y3="A",Responses!$AB$4="",Responses!$AB$4=0),"",IF(_xlfn.MAXIFS(Data!$K$2:$K$26,Data!$B$2:$B$26,SUMIFS(Sequence!$C:$C,Sequence!$A:$A,$B$3,Sequence!$B:$B,3),Data!$I$2:$I$26,1)-SUMIFS(Data!$K$2:$K$26,Data!$A$2:$A$26,SUMIFS(Sequence!$C:$C,Sequence!$A:$A,$B$3,Sequence!$B:$B,3)&amp;"|"&amp;INDEX(Selector!$D$2:$D$37,MATCH(SUMIFS(Sequence!$C:$C,Sequence!$A:$A,$B$3,Sequence!$B:$B,3)*100+ROUND(Responses!$AB$4*10,0),Selector!$A$2:$A$37,0)))&gt;=0.3,"X",IF(_xlfn.MAXIFS(Data!$K$2:$K$26,Data!$B$2:$B$26,SUMIFS(Sequence!$C:$C,Sequence!$A:$A,$B$3,Sequence!$B:$B,3),Data!$I$2:$I$26,1)-SUMIFS(Data!$K$2:$K$26,Data!$A$2:$A$26,SUMIFS(Sequence!$C:$C,Sequence!$A:$A,$B$3,Sequence!$B:$B,3)&amp;"|"&amp;INDEX(Selector!$D$2:$D$37,MATCH(SUMIFS(Sequence!$C:$C,Sequence!$A:$A,$B$3,Sequence!$B:$B,3)*100+ROUND(Responses!$AB$4*10,0),Selector!$A$2:$A$37,0)))&lt;=0.05,"Y","–")))</f>
        <v/>
      </c>
      <c r="AF3" s="8" t="str">
        <f aca="false">IF(OR(Y3&lt;&gt;"A",Responses!$AA$4=""),"",IF(AND(Responses!$AA$4=1,Responses!$AC$4&gt;=6,Responses!$D$4+Responses!$E$4&gt;=6),"X",IF(OR(AND(Responses!$AA$4&gt;=2,Responses!$D$4+Responses!$E$4&gt;=6),AND(Responses!$AA$4=1,Responses!$C$4&gt;=7)),"Y","–")))</f>
        <v>Y</v>
      </c>
      <c r="AG3" s="8" t="str">
        <f aca="false">INDEX(Sequence!$D$2:$D$11,MATCH(1,INDEX((Sequence!$A$2:$A$11=$B$3)*(Sequence!$B$2:$B$11=4),0),0))</f>
        <v>A</v>
      </c>
      <c r="AH3" s="8" t="n">
        <f aca="false">(Responses!$AD$4=SUMIFS(Sequence!$E:$E,Sequence!$A:$A,$B$3,Sequence!$B:$B,4))*1+(Responses!$AE$4=SUMIFS(Sequence!$F:$F,Sequence!$A:$A,$B$3,Sequence!$B:$B,4))*1+(Responses!$AF$4=SUMIFS(Sequence!$G:$G,Sequence!$A:$A,$B$3,Sequence!$B:$B,4))*1</f>
        <v>3</v>
      </c>
      <c r="AI3" s="8" t="str">
        <f aca="false">IF(Responses!$AD$4="","",IF(AH3&lt;=1,"X",IF(AH3=3,"Y","–")))</f>
        <v>Y</v>
      </c>
      <c r="AJ3" s="8" t="str">
        <f aca="false">IF(OR(AG3="A",Responses!$AG$4=""),"",ROUND(_xlfn.MAXIFS(Data!$K$2:$K$26,Data!$B$2:$B$26,SUMIFS(Sequence!$C:$C,Sequence!$A:$A,$B$3,Sequence!$B:$B,4),Data!$H$2:$H$26,1)-SUMIFS(Data!$K$2:$K$26,Data!$A$2:$A$26,SUMIFS(Sequence!$C:$C,Sequence!$A:$A,$B$3,Sequence!$B:$B,4)&amp;"|"&amp;IF(AG3="R",INDEX(Repetition!$D$2:$D$20,MATCH($B$3&amp;"|"&amp;Responses!$AG$4,Repetition!$A$2:$A$20,0)),Responses!$AG$4)),3))</f>
        <v/>
      </c>
      <c r="AK3" s="8" t="str">
        <f aca="false">IF(AG3="A","",ROUND(_xlfn.MAXIFS(Data!$K$2:$K$26,Data!$B$2:$B$26,SUMIFS(Sequence!$C:$C,Sequence!$A:$A,$B$3,Sequence!$B:$B,4),Data!$H$2:$H$26,1)-SUMIFS(Data!$K$2:$K$26,Data!$A$2:$A$26,SUMIFS(Sequence!$C:$C,Sequence!$A:$A,$B$3,Sequence!$B:$B,4)&amp;"|"&amp;"N"),3))</f>
        <v/>
      </c>
      <c r="AL3" s="8" t="str">
        <f aca="false">IF(AJ3="","",IF(OR(AJ3&gt;=0.5,AND(AK3&gt;0.1,AJ3&gt;=AK3)),"X",IF(AJ3&lt;=0.1,"Y","–")))</f>
        <v/>
      </c>
      <c r="AM3" s="8" t="str">
        <f aca="false">IF(OR(AG3="A",Responses!$AH$4="",Responses!$AH$4=0),"",IF(_xlfn.MAXIFS(Data!$K$2:$K$26,Data!$B$2:$B$26,SUMIFS(Sequence!$C:$C,Sequence!$A:$A,$B$3,Sequence!$B:$B,4),Data!$I$2:$I$26,1)-SUMIFS(Data!$K$2:$K$26,Data!$A$2:$A$26,SUMIFS(Sequence!$C:$C,Sequence!$A:$A,$B$3,Sequence!$B:$B,4)&amp;"|"&amp;INDEX(Selector!$D$2:$D$37,MATCH(SUMIFS(Sequence!$C:$C,Sequence!$A:$A,$B$3,Sequence!$B:$B,4)*100+ROUND(Responses!$AH$4*10,0),Selector!$A$2:$A$37,0)))&gt;=0.3,"X",IF(_xlfn.MAXIFS(Data!$K$2:$K$26,Data!$B$2:$B$26,SUMIFS(Sequence!$C:$C,Sequence!$A:$A,$B$3,Sequence!$B:$B,4),Data!$I$2:$I$26,1)-SUMIFS(Data!$K$2:$K$26,Data!$A$2:$A$26,SUMIFS(Sequence!$C:$C,Sequence!$A:$A,$B$3,Sequence!$B:$B,4)&amp;"|"&amp;INDEX(Selector!$D$2:$D$37,MATCH(SUMIFS(Sequence!$C:$C,Sequence!$A:$A,$B$3,Sequence!$B:$B,4)*100+ROUND(Responses!$AH$4*10,0),Selector!$A$2:$A$37,0)))&lt;=0.05,"Y","–")))</f>
        <v/>
      </c>
      <c r="AN3" s="8" t="str">
        <f aca="false">IF(OR(AG3&lt;&gt;"A",Responses!$AG$4=""),"",IF(AND(Responses!$AG$4=1,Responses!$AI$4&gt;=6,Responses!$D$4+Responses!$E$4&gt;=6),"X",IF(OR(AND(Responses!$AG$4&gt;=2,Responses!$D$4+Responses!$E$4&gt;=6),AND(Responses!$AG$4=1,Responses!$C$4&gt;=7)),"Y","–")))</f>
        <v>Y</v>
      </c>
      <c r="AO3" s="8" t="str">
        <f aca="false">INDEX(Sequence!$D$2:$D$11,MATCH(1,INDEX((Sequence!$A$2:$A$11=$B$3)*(Sequence!$B$2:$B$11=5),0),0))</f>
        <v>R</v>
      </c>
      <c r="AP3" s="8" t="n">
        <f aca="false">(Responses!$AJ$4=SUMIFS(Sequence!$E:$E,Sequence!$A:$A,$B$3,Sequence!$B:$B,5))*1+(Responses!$AK$4=SUMIFS(Sequence!$F:$F,Sequence!$A:$A,$B$3,Sequence!$B:$B,5))*1+(Responses!$AL$4=SUMIFS(Sequence!$G:$G,Sequence!$A:$A,$B$3,Sequence!$B:$B,5))*1</f>
        <v>2</v>
      </c>
      <c r="AQ3" s="8" t="str">
        <f aca="false">IF(Responses!$AJ$4="","",IF(AP3&lt;=1,"X",IF(AP3=3,"Y","–")))</f>
        <v>–</v>
      </c>
      <c r="AR3" s="8" t="n">
        <f aca="false">IF(OR(AO3="A",Responses!$AM$4=""),"",ROUND(_xlfn.MAXIFS(Data!$K$2:$K$26,Data!$B$2:$B$26,SUMIFS(Sequence!$C:$C,Sequence!$A:$A,$B$3,Sequence!$B:$B,5),Data!$H$2:$H$26,1)-SUMIFS(Data!$K$2:$K$26,Data!$A$2:$A$26,SUMIFS(Sequence!$C:$C,Sequence!$A:$A,$B$3,Sequence!$B:$B,5)&amp;"|"&amp;IF(AO3="R",INDEX(Repetition!$D$2:$D$20,MATCH($B$3&amp;"|"&amp;Responses!$AM$4,Repetition!$A$2:$A$20,0)),Responses!$AM$4)),3))</f>
        <v>0</v>
      </c>
      <c r="AS3" s="8" t="n">
        <f aca="false">IF(AO3="A","",ROUND(_xlfn.MAXIFS(Data!$K$2:$K$26,Data!$B$2:$B$26,SUMIFS(Sequence!$C:$C,Sequence!$A:$A,$B$3,Sequence!$B:$B,5),Data!$H$2:$H$26,1)-SUMIFS(Data!$K$2:$K$26,Data!$A$2:$A$26,SUMIFS(Sequence!$C:$C,Sequence!$A:$A,$B$3,Sequence!$B:$B,5)&amp;"|"&amp;"N"),3))</f>
        <v>1.543</v>
      </c>
      <c r="AT3" s="8" t="str">
        <f aca="false">IF(AR3="","",IF(OR(AR3&gt;=0.5,AND(AS3&gt;0.1,AR3&gt;=AS3)),"X",IF(AR3&lt;=0.1,"Y","–")))</f>
        <v>Y</v>
      </c>
      <c r="AU3" s="8" t="str">
        <f aca="false">IF(OR(AO3="A",Responses!$AN$4="",Responses!$AN$4=0),"",IF(_xlfn.MAXIFS(Data!$K$2:$K$26,Data!$B$2:$B$26,SUMIFS(Sequence!$C:$C,Sequence!$A:$A,$B$3,Sequence!$B:$B,5),Data!$I$2:$I$26,1)-SUMIFS(Data!$K$2:$K$26,Data!$A$2:$A$26,SUMIFS(Sequence!$C:$C,Sequence!$A:$A,$B$3,Sequence!$B:$B,5)&amp;"|"&amp;INDEX(Selector!$D$2:$D$37,MATCH(SUMIFS(Sequence!$C:$C,Sequence!$A:$A,$B$3,Sequence!$B:$B,5)*100+ROUND(Responses!$AN$4*10,0),Selector!$A$2:$A$37,0)))&gt;=0.3,"X",IF(_xlfn.MAXIFS(Data!$K$2:$K$26,Data!$B$2:$B$26,SUMIFS(Sequence!$C:$C,Sequence!$A:$A,$B$3,Sequence!$B:$B,5),Data!$I$2:$I$26,1)-SUMIFS(Data!$K$2:$K$26,Data!$A$2:$A$26,SUMIFS(Sequence!$C:$C,Sequence!$A:$A,$B$3,Sequence!$B:$B,5)&amp;"|"&amp;INDEX(Selector!$D$2:$D$37,MATCH(SUMIFS(Sequence!$C:$C,Sequence!$A:$A,$B$3,Sequence!$B:$B,5)*100+ROUND(Responses!$AN$4*10,0),Selector!$A$2:$A$37,0)))&lt;=0.05,"Y","–")))</f>
        <v>Y</v>
      </c>
      <c r="AV3" s="8" t="str">
        <f aca="false">IF(OR(AO3&lt;&gt;"A",Responses!$AM$4=""),"",IF(AND(Responses!$AM$4=1,Responses!$AO$4&gt;=6,Responses!$D$4+Responses!$E$4&gt;=6),"X",IF(OR(AND(Responses!$AM$4&gt;=2,Responses!$D$4+Responses!$E$4&gt;=6),AND(Responses!$AM$4=1,Responses!$C$4&gt;=7)),"Y","–")))</f>
        <v/>
      </c>
      <c r="AW3" s="8" t="str">
        <f aca="false">IF(Responses!$BE$4="","",IF(OR(Responses!$BE$4&lt;25,Responses!$BE$4&gt;150),"X",IF(AND(Responses!$BE$4&gt;=45,Responses!$BE$4&lt;=100),"Y","–")))</f>
        <v/>
      </c>
      <c r="AX3" s="8" t="n">
        <f aca="false">IF(OR(AR3="",IF($B$3="X",AB3,L3)=""),"",ABS(AR3-IF($B$3="X",AB3,L3)))</f>
        <v>0</v>
      </c>
      <c r="AY3" s="8" t="str">
        <f aca="false">IF(AX3="","",IF(AX3&gt;0.25,"X",IF(AX3=0,"Y","–")))</f>
        <v>Y</v>
      </c>
      <c r="AZ3" s="8" t="n">
        <f aca="false">(Responses!$AP$4=INDEX(VignetteKeys!$B$2:$B$3,MATCH($B$3,VignetteKeys!$A$2:$A$3,0)))*1+(Responses!$AQ$4=INDEX(VignetteKeys!$C$2:$C$3,MATCH($B$3,VignetteKeys!$A$2:$A$3,0)))*1+(Responses!$AR$4=INDEX(VignetteKeys!$D$2:$D$3,MATCH($B$3,VignetteKeys!$A$2:$A$3,0)))*1+(Responses!$AS$4=INDEX(VignetteKeys!$E$2:$E$3,MATCH($B$3,VignetteKeys!$A$2:$A$3,0)))*1</f>
        <v>4</v>
      </c>
      <c r="BA3" s="8" t="str">
        <f aca="false">IF(Responses!$AP$4="","",IF(OR(AND(Responses!$AP$4&lt;&gt;INDEX(VignetteKeys!$B$2:$B$3,MATCH($B$3,VignetteKeys!$A$2:$A$3,0)),Responses!$AQ$4&lt;&gt;INDEX(VignetteKeys!$C$2:$C$3,MATCH($B$3,VignetteKeys!$A$2:$A$3,0))),AND(Responses!$AR$4&lt;&gt;INDEX(VignetteKeys!$D$2:$D$3,MATCH($B$3,VignetteKeys!$A$2:$A$3,0)),Responses!$AS$4&lt;&gt;INDEX(VignetteKeys!$E$2:$E$3,MATCH($B$3,VignetteKeys!$A$2:$A$3,0)))),"X",IF(AZ3=4,"Y","–")))</f>
        <v>Y</v>
      </c>
      <c r="BB3" s="8" t="str">
        <f aca="false">IF(Responses!$AT$4="","",IF(Responses!$AT$4&lt;&gt;4,"X","Y"))</f>
        <v>Y</v>
      </c>
      <c r="BC3" s="8" t="n">
        <f aca="false">IF(COUNT(Responses!$AU$4:$BD$4)&lt;10,"",((Responses!$AU$4-1)+(Responses!$AW$4-1)+(Responses!$AY$4-1)+(Responses!$BA$4-1)+(Responses!$BC$4-1)+(5-Responses!$AV$4)+(5-Responses!$AX$4)+(5-Responses!$AZ$4)+(5-Responses!$BB$4)+(5-Responses!$BD$4))*2.5)</f>
        <v>80</v>
      </c>
      <c r="BD3" s="8" t="str">
        <f aca="false">IF(BC3="","",IF(BC3&lt;50,"X",IF(BC3&gt;=68,"Y","–")))</f>
        <v>Y</v>
      </c>
      <c r="BE3" s="8" t="n">
        <f aca="false">IF((IF(AND(I3&lt;&gt;"A",ISNUMBER(Responses!$Q$4)),1,0)+IF(AND(Q3&lt;&gt;"A",ISNUMBER(Responses!$W$4)),1,0)+IF(AND(Y3&lt;&gt;"A",ISNUMBER(Responses!$AC$4)),1,0)+IF(AND(AG3&lt;&gt;"A",ISNUMBER(Responses!$AI$4)),1,0)+IF(AND(AO3&lt;&gt;"A",ISNUMBER(Responses!$AO$4)),1,0))=0,"",ROUND((IF(AND(I3&lt;&gt;"A",ISNUMBER(Responses!$Q$4)),Responses!$Q$4,0)+IF(AND(Q3&lt;&gt;"A",ISNUMBER(Responses!$W$4)),Responses!$W$4,0)+IF(AND(Y3&lt;&gt;"A",ISNUMBER(Responses!$AC$4)),Responses!$AC$4,0)+IF(AND(AG3&lt;&gt;"A",ISNUMBER(Responses!$AI$4)),Responses!$AI$4,0)+IF(AND(AO3&lt;&gt;"A",ISNUMBER(Responses!$AO$4)),Responses!$AO$4,0))/(IF(AND(I3&lt;&gt;"A",ISNUMBER(Responses!$Q$4)),1,0)+IF(AND(Q3&lt;&gt;"A",ISNUMBER(Responses!$W$4)),1,0)+IF(AND(Y3&lt;&gt;"A",ISNUMBER(Responses!$AC$4)),1,0)+IF(AND(AG3&lt;&gt;"A",ISNUMBER(Responses!$AI$4)),1,0)+IF(AND(AO3&lt;&gt;"A",ISNUMBER(Responses!$AO$4)),1,0)),2))</f>
        <v>5</v>
      </c>
      <c r="BF3" s="8" t="n">
        <f aca="false">IF((IF(AND(I3="A",ISNUMBER(Responses!$Q$4)),1,0)+IF(AND(Q3="A",ISNUMBER(Responses!$W$4)),1,0)+IF(AND(Y3="A",ISNUMBER(Responses!$AC$4)),1,0)+IF(AND(AG3="A",ISNUMBER(Responses!$AI$4)),1,0)+IF(AND(AO3="A",ISNUMBER(Responses!$AO$4)),1,0))=0,"",ROUND((IF(AND(I3="A",ISNUMBER(Responses!$Q$4)),Responses!$Q$4,0)+IF(AND(Q3="A",ISNUMBER(Responses!$W$4)),Responses!$W$4,0)+IF(AND(Y3="A",ISNUMBER(Responses!$AC$4)),Responses!$AC$4,0)+IF(AND(AG3="A",ISNUMBER(Responses!$AI$4)),Responses!$AI$4,0)+IF(AND(AO3="A",ISNUMBER(Responses!$AO$4)),Responses!$AO$4,0))/(IF(AND(I3="A",ISNUMBER(Responses!$Q$4)),1,0)+IF(AND(Q3="A",ISNUMBER(Responses!$W$4)),1,0)+IF(AND(Y3="A",ISNUMBER(Responses!$AC$4)),1,0)+IF(AND(AG3="A",ISNUMBER(Responses!$AI$4)),1,0)+IF(AND(AO3="A",ISNUMBER(Responses!$AO$4)),1,0)),2))</f>
        <v>4</v>
      </c>
      <c r="BG3" s="8" t="str">
        <f aca="false">IF(OR(BE3="",BF3=""),"",IF(BF3-BE3&gt;=3,"X",IF(BE3&gt;=BF3,"Y","–")))</f>
        <v>Y</v>
      </c>
      <c r="BH3" s="8" t="n">
        <f aca="false">(D3="X")*1+(F3="X")*1+(H3="X")*1+(K3="X")*1+(N3="X")*1+(O3="X")*1+(P3="X")*1+(S3="X")*1+(V3="X")*1+(W3="X")*1+(X3="X")*1+(AA3="X")*1+(AD3="X")*1+(AE3="X")*1+(AF3="X")*1+(AI3="X")*1+(AL3="X")*1+(AM3="X")*1+(AN3="X")*1+(AQ3="X")*1+(AT3="X")*1+(AU3="X")*1+(AV3="X")*1+(AW3="X")*1+(AY3="X")*1+(BA3="X")*1+(BB3="X")*1+(BD3="X")*1+(BG3="X")*1</f>
        <v>1</v>
      </c>
    </row>
    <row r="4" customFormat="false" ht="15" hidden="false" customHeight="false" outlineLevel="0" collapsed="false">
      <c r="A4" s="4" t="str">
        <f aca="false">Responses!$A$5</f>
        <v>P03</v>
      </c>
      <c r="B4" s="4" t="str">
        <f aca="false">Responses!$B$5</f>
        <v>X</v>
      </c>
      <c r="C4" s="8" t="n">
        <f aca="false">SUM(Responses!$C$5,Responses!$D$5,Responses!$E$5)</f>
        <v>10</v>
      </c>
      <c r="D4" s="8" t="str">
        <f aca="false">IF(C4=0,"",IF(C4&lt;&gt;10,"X","Y"))</f>
        <v>Y</v>
      </c>
      <c r="E4" s="8" t="n">
        <f aca="false">IF(OR(Responses!$F$5="",Responses!$F$5&gt;6),"",MAX(ABS(Responses!$C$5-INDEX(Profiles!$C$2:$C$7,Responses!$F$5)),ABS(Responses!$D$5-INDEX(Profiles!$D$2:$D$7,Responses!$F$5)),ABS(Responses!$E$5-INDEX(Profiles!$E$2:$E$7,Responses!$F$5))))</f>
        <v>1</v>
      </c>
      <c r="F4" s="8" t="str">
        <f aca="false">IF(E4="","",IF(E4&gt;=4,"X",IF(E4&lt;=2,"Y","–")))</f>
        <v>Y</v>
      </c>
      <c r="G4" s="8" t="n">
        <f aca="false">(Responses!$G$5=2)*1+(Responses!$H$5=1)*1+(Responses!$I$5=2)*1+(Responses!$J$5=2)*1+(Responses!$K$5=2)*1</f>
        <v>5</v>
      </c>
      <c r="H4" s="8" t="str">
        <f aca="false">IF(Responses!$G$5="","",IF(G4&lt;=3,"X",IF(G4=5,"Y","–")))</f>
        <v>Y</v>
      </c>
      <c r="I4" s="8" t="str">
        <f aca="false">INDEX(Sequence!$D$2:$D$11,MATCH(1,INDEX((Sequence!$A$2:$A$11=$B$4)*(Sequence!$B$2:$B$11=1),0),0))</f>
        <v>A</v>
      </c>
      <c r="J4" s="8" t="n">
        <f aca="false">(Responses!$L$5=SUMIFS(Sequence!$E:$E,Sequence!$A:$A,$B$4,Sequence!$B:$B,1))*1+(Responses!$M$5=SUMIFS(Sequence!$F:$F,Sequence!$A:$A,$B$4,Sequence!$B:$B,1))*1+(Responses!$N$5=SUMIFS(Sequence!$G:$G,Sequence!$A:$A,$B$4,Sequence!$B:$B,1))*1</f>
        <v>3</v>
      </c>
      <c r="K4" s="8" t="str">
        <f aca="false">IF(Responses!$L$5="","",IF(J4&lt;=1,"X",IF(J4=3,"Y","–")))</f>
        <v>Y</v>
      </c>
      <c r="L4" s="8" t="str">
        <f aca="false">IF(OR(I4="A",Responses!$O$5=""),"",ROUND(_xlfn.MAXIFS(Data!$L$2:$L$26,Data!$B$2:$B$26,SUMIFS(Sequence!$C:$C,Sequence!$A:$A,$B$4,Sequence!$B:$B,1),Data!$H$2:$H$26,1)-SUMIFS(Data!$L$2:$L$26,Data!$A$2:$A$26,SUMIFS(Sequence!$C:$C,Sequence!$A:$A,$B$4,Sequence!$B:$B,1)&amp;"|"&amp;IF(I4="R",INDEX(Repetition!$D$2:$D$20,MATCH($B$4&amp;"|"&amp;Responses!$O$5,Repetition!$A$2:$A$20,0)),Responses!$O$5)),3))</f>
        <v/>
      </c>
      <c r="M4" s="8" t="str">
        <f aca="false">IF(I4="A","",ROUND(_xlfn.MAXIFS(Data!$L$2:$L$26,Data!$B$2:$B$26,SUMIFS(Sequence!$C:$C,Sequence!$A:$A,$B$4,Sequence!$B:$B,1),Data!$H$2:$H$26,1)-SUMIFS(Data!$L$2:$L$26,Data!$A$2:$A$26,SUMIFS(Sequence!$C:$C,Sequence!$A:$A,$B$4,Sequence!$B:$B,1)&amp;"|"&amp;"N"),3))</f>
        <v/>
      </c>
      <c r="N4" s="8" t="str">
        <f aca="false">IF(L4="","",IF(OR(L4&gt;=0.5,AND(M4&gt;0.1,L4&gt;=M4)),"X",IF(L4&lt;=0.1,"Y","–")))</f>
        <v/>
      </c>
      <c r="O4" s="8" t="str">
        <f aca="false">IF(OR(I4="A",Responses!$P$5="",Responses!$P$5=0),"",IF(_xlfn.MAXIFS(Data!$L$2:$L$26,Data!$B$2:$B$26,SUMIFS(Sequence!$C:$C,Sequence!$A:$A,$B$4,Sequence!$B:$B,1),Data!$I$2:$I$26,1)-SUMIFS(Data!$L$2:$L$26,Data!$A$2:$A$26,SUMIFS(Sequence!$C:$C,Sequence!$A:$A,$B$4,Sequence!$B:$B,1)&amp;"|"&amp;INDEX(Selector!$D$2:$D$37,MATCH(SUMIFS(Sequence!$C:$C,Sequence!$A:$A,$B$4,Sequence!$B:$B,1)*100+ROUND(Responses!$P$5*10,0),Selector!$A$2:$A$37,0)))&gt;=0.3,"X",IF(_xlfn.MAXIFS(Data!$L$2:$L$26,Data!$B$2:$B$26,SUMIFS(Sequence!$C:$C,Sequence!$A:$A,$B$4,Sequence!$B:$B,1),Data!$I$2:$I$26,1)-SUMIFS(Data!$L$2:$L$26,Data!$A$2:$A$26,SUMIFS(Sequence!$C:$C,Sequence!$A:$A,$B$4,Sequence!$B:$B,1)&amp;"|"&amp;INDEX(Selector!$D$2:$D$37,MATCH(SUMIFS(Sequence!$C:$C,Sequence!$A:$A,$B$4,Sequence!$B:$B,1)*100+ROUND(Responses!$P$5*10,0),Selector!$A$2:$A$37,0)))&lt;=0.05,"Y","–")))</f>
        <v/>
      </c>
      <c r="P4" s="8" t="str">
        <f aca="false">IF(OR(I4&lt;&gt;"A",Responses!$O$5=""),"",IF(AND(Responses!$O$5=1,Responses!$Q$5&gt;=6,Responses!$D$5+Responses!$E$5&gt;=6),"X",IF(OR(AND(Responses!$O$5&gt;=2,Responses!$D$5+Responses!$E$5&gt;=6),AND(Responses!$O$5=1,Responses!$C$5&gt;=7)),"Y","–")))</f>
        <v>X</v>
      </c>
      <c r="Q4" s="8" t="str">
        <f aca="false">INDEX(Sequence!$D$2:$D$11,MATCH(1,INDEX((Sequence!$A$2:$A$11=$B$4)*(Sequence!$B$2:$B$11=2),0),0))</f>
        <v>A</v>
      </c>
      <c r="R4" s="8" t="n">
        <f aca="false">(Responses!$R$5=SUMIFS(Sequence!$E:$E,Sequence!$A:$A,$B$4,Sequence!$B:$B,2))*1+(Responses!$S$5=SUMIFS(Sequence!$F:$F,Sequence!$A:$A,$B$4,Sequence!$B:$B,2))*1+(Responses!$T$5=SUMIFS(Sequence!$G:$G,Sequence!$A:$A,$B$4,Sequence!$B:$B,2))*1</f>
        <v>3</v>
      </c>
      <c r="S4" s="8" t="str">
        <f aca="false">IF(Responses!$R$5="","",IF(R4&lt;=1,"X",IF(R4=3,"Y","–")))</f>
        <v>Y</v>
      </c>
      <c r="T4" s="8" t="str">
        <f aca="false">IF(OR(Q4="A",Responses!$U$5=""),"",ROUND(_xlfn.MAXIFS(Data!$L$2:$L$26,Data!$B$2:$B$26,SUMIFS(Sequence!$C:$C,Sequence!$A:$A,$B$4,Sequence!$B:$B,2),Data!$H$2:$H$26,1)-SUMIFS(Data!$L$2:$L$26,Data!$A$2:$A$26,SUMIFS(Sequence!$C:$C,Sequence!$A:$A,$B$4,Sequence!$B:$B,2)&amp;"|"&amp;IF(Q4="R",INDEX(Repetition!$D$2:$D$20,MATCH($B$4&amp;"|"&amp;Responses!$U$5,Repetition!$A$2:$A$20,0)),Responses!$U$5)),3))</f>
        <v/>
      </c>
      <c r="U4" s="8" t="str">
        <f aca="false">IF(Q4="A","",ROUND(_xlfn.MAXIFS(Data!$L$2:$L$26,Data!$B$2:$B$26,SUMIFS(Sequence!$C:$C,Sequence!$A:$A,$B$4,Sequence!$B:$B,2),Data!$H$2:$H$26,1)-SUMIFS(Data!$L$2:$L$26,Data!$A$2:$A$26,SUMIFS(Sequence!$C:$C,Sequence!$A:$A,$B$4,Sequence!$B:$B,2)&amp;"|"&amp;"N"),3))</f>
        <v/>
      </c>
      <c r="V4" s="8" t="str">
        <f aca="false">IF(T4="","",IF(OR(T4&gt;=0.5,AND(U4&gt;0.1,T4&gt;=U4)),"X",IF(T4&lt;=0.1,"Y","–")))</f>
        <v/>
      </c>
      <c r="W4" s="8" t="str">
        <f aca="false">IF(OR(Q4="A",Responses!$V$5="",Responses!$V$5=0),"",IF(_xlfn.MAXIFS(Data!$L$2:$L$26,Data!$B$2:$B$26,SUMIFS(Sequence!$C:$C,Sequence!$A:$A,$B$4,Sequence!$B:$B,2),Data!$I$2:$I$26,1)-SUMIFS(Data!$L$2:$L$26,Data!$A$2:$A$26,SUMIFS(Sequence!$C:$C,Sequence!$A:$A,$B$4,Sequence!$B:$B,2)&amp;"|"&amp;INDEX(Selector!$D$2:$D$37,MATCH(SUMIFS(Sequence!$C:$C,Sequence!$A:$A,$B$4,Sequence!$B:$B,2)*100+ROUND(Responses!$V$5*10,0),Selector!$A$2:$A$37,0)))&gt;=0.3,"X",IF(_xlfn.MAXIFS(Data!$L$2:$L$26,Data!$B$2:$B$26,SUMIFS(Sequence!$C:$C,Sequence!$A:$A,$B$4,Sequence!$B:$B,2),Data!$I$2:$I$26,1)-SUMIFS(Data!$L$2:$L$26,Data!$A$2:$A$26,SUMIFS(Sequence!$C:$C,Sequence!$A:$A,$B$4,Sequence!$B:$B,2)&amp;"|"&amp;INDEX(Selector!$D$2:$D$37,MATCH(SUMIFS(Sequence!$C:$C,Sequence!$A:$A,$B$4,Sequence!$B:$B,2)*100+ROUND(Responses!$V$5*10,0),Selector!$A$2:$A$37,0)))&lt;=0.05,"Y","–")))</f>
        <v/>
      </c>
      <c r="X4" s="8" t="str">
        <f aca="false">IF(OR(Q4&lt;&gt;"A",Responses!$U$5=""),"",IF(AND(Responses!$U$5=1,Responses!$W$5&gt;=6,Responses!$D$5+Responses!$E$5&gt;=6),"X",IF(OR(AND(Responses!$U$5&gt;=2,Responses!$D$5+Responses!$E$5&gt;=6),AND(Responses!$U$5=1,Responses!$C$5&gt;=7)),"Y","–")))</f>
        <v>X</v>
      </c>
      <c r="Y4" s="8" t="str">
        <f aca="false">INDEX(Sequence!$D$2:$D$11,MATCH(1,INDEX((Sequence!$A$2:$A$11=$B$4)*(Sequence!$B$2:$B$11=3),0),0))</f>
        <v>B</v>
      </c>
      <c r="Z4" s="8" t="n">
        <f aca="false">(Responses!$X$5=SUMIFS(Sequence!$E:$E,Sequence!$A:$A,$B$4,Sequence!$B:$B,3))*1+(Responses!$Y$5=SUMIFS(Sequence!$F:$F,Sequence!$A:$A,$B$4,Sequence!$B:$B,3))*1+(Responses!$Z$5=SUMIFS(Sequence!$G:$G,Sequence!$A:$A,$B$4,Sequence!$B:$B,3))*1</f>
        <v>2</v>
      </c>
      <c r="AA4" s="8" t="str">
        <f aca="false">IF(Responses!$X$5="","",IF(Z4&lt;=1,"X",IF(Z4=3,"Y","–")))</f>
        <v>–</v>
      </c>
      <c r="AB4" s="8" t="n">
        <f aca="false">IF(OR(Y4="A",Responses!$AA$5=""),"",ROUND(_xlfn.MAXIFS(Data!$L$2:$L$26,Data!$B$2:$B$26,SUMIFS(Sequence!$C:$C,Sequence!$A:$A,$B$4,Sequence!$B:$B,3),Data!$H$2:$H$26,1)-SUMIFS(Data!$L$2:$L$26,Data!$A$2:$A$26,SUMIFS(Sequence!$C:$C,Sequence!$A:$A,$B$4,Sequence!$B:$B,3)&amp;"|"&amp;IF(Y4="R",INDEX(Repetition!$D$2:$D$20,MATCH($B$4&amp;"|"&amp;Responses!$AA$5,Repetition!$A$2:$A$20,0)),Responses!$AA$5)),3))</f>
        <v>0</v>
      </c>
      <c r="AC4" s="8" t="n">
        <f aca="false">IF(Y4="A","",ROUND(_xlfn.MAXIFS(Data!$L$2:$L$26,Data!$B$2:$B$26,SUMIFS(Sequence!$C:$C,Sequence!$A:$A,$B$4,Sequence!$B:$B,3),Data!$H$2:$H$26,1)-SUMIFS(Data!$L$2:$L$26,Data!$A$2:$A$26,SUMIFS(Sequence!$C:$C,Sequence!$A:$A,$B$4,Sequence!$B:$B,3)&amp;"|"&amp;"N"),3))</f>
        <v>1.183</v>
      </c>
      <c r="AD4" s="8" t="str">
        <f aca="false">IF(AB4="","",IF(OR(AB4&gt;=0.5,AND(AC4&gt;0.1,AB4&gt;=AC4)),"X",IF(AB4&lt;=0.1,"Y","–")))</f>
        <v>Y</v>
      </c>
      <c r="AE4" s="8" t="str">
        <f aca="false">IF(OR(Y4="A",Responses!$AB$5="",Responses!$AB$5=0),"",IF(_xlfn.MAXIFS(Data!$L$2:$L$26,Data!$B$2:$B$26,SUMIFS(Sequence!$C:$C,Sequence!$A:$A,$B$4,Sequence!$B:$B,3),Data!$I$2:$I$26,1)-SUMIFS(Data!$L$2:$L$26,Data!$A$2:$A$26,SUMIFS(Sequence!$C:$C,Sequence!$A:$A,$B$4,Sequence!$B:$B,3)&amp;"|"&amp;INDEX(Selector!$D$2:$D$37,MATCH(SUMIFS(Sequence!$C:$C,Sequence!$A:$A,$B$4,Sequence!$B:$B,3)*100+ROUND(Responses!$AB$5*10,0),Selector!$A$2:$A$37,0)))&gt;=0.3,"X",IF(_xlfn.MAXIFS(Data!$L$2:$L$26,Data!$B$2:$B$26,SUMIFS(Sequence!$C:$C,Sequence!$A:$A,$B$4,Sequence!$B:$B,3),Data!$I$2:$I$26,1)-SUMIFS(Data!$L$2:$L$26,Data!$A$2:$A$26,SUMIFS(Sequence!$C:$C,Sequence!$A:$A,$B$4,Sequence!$B:$B,3)&amp;"|"&amp;INDEX(Selector!$D$2:$D$37,MATCH(SUMIFS(Sequence!$C:$C,Sequence!$A:$A,$B$4,Sequence!$B:$B,3)*100+ROUND(Responses!$AB$5*10,0),Selector!$A$2:$A$37,0)))&lt;=0.05,"Y","–")))</f>
        <v>Y</v>
      </c>
      <c r="AF4" s="8" t="str">
        <f aca="false">IF(OR(Y4&lt;&gt;"A",Responses!$AA$5=""),"",IF(AND(Responses!$AA$5=1,Responses!$AC$5&gt;=6,Responses!$D$5+Responses!$E$5&gt;=6),"X",IF(OR(AND(Responses!$AA$5&gt;=2,Responses!$D$5+Responses!$E$5&gt;=6),AND(Responses!$AA$5=1,Responses!$C$5&gt;=7)),"Y","–")))</f>
        <v/>
      </c>
      <c r="AG4" s="8" t="str">
        <f aca="false">INDEX(Sequence!$D$2:$D$11,MATCH(1,INDEX((Sequence!$A$2:$A$11=$B$4)*(Sequence!$B$2:$B$11=4),0),0))</f>
        <v>B</v>
      </c>
      <c r="AH4" s="8" t="n">
        <f aca="false">(Responses!$AD$5=SUMIFS(Sequence!$E:$E,Sequence!$A:$A,$B$4,Sequence!$B:$B,4))*1+(Responses!$AE$5=SUMIFS(Sequence!$F:$F,Sequence!$A:$A,$B$4,Sequence!$B:$B,4))*1+(Responses!$AF$5=SUMIFS(Sequence!$G:$G,Sequence!$A:$A,$B$4,Sequence!$B:$B,4))*1</f>
        <v>2</v>
      </c>
      <c r="AI4" s="8" t="str">
        <f aca="false">IF(Responses!$AD$5="","",IF(AH4&lt;=1,"X",IF(AH4=3,"Y","–")))</f>
        <v>–</v>
      </c>
      <c r="AJ4" s="8" t="n">
        <f aca="false">IF(OR(AG4="A",Responses!$AG$5=""),"",ROUND(_xlfn.MAXIFS(Data!$L$2:$L$26,Data!$B$2:$B$26,SUMIFS(Sequence!$C:$C,Sequence!$A:$A,$B$4,Sequence!$B:$B,4),Data!$H$2:$H$26,1)-SUMIFS(Data!$L$2:$L$26,Data!$A$2:$A$26,SUMIFS(Sequence!$C:$C,Sequence!$A:$A,$B$4,Sequence!$B:$B,4)&amp;"|"&amp;IF(AG4="R",INDEX(Repetition!$D$2:$D$20,MATCH($B$4&amp;"|"&amp;Responses!$AG$5,Repetition!$A$2:$A$20,0)),Responses!$AG$5)),3))</f>
        <v>0</v>
      </c>
      <c r="AK4" s="8" t="n">
        <f aca="false">IF(AG4="A","",ROUND(_xlfn.MAXIFS(Data!$L$2:$L$26,Data!$B$2:$B$26,SUMIFS(Sequence!$C:$C,Sequence!$A:$A,$B$4,Sequence!$B:$B,4),Data!$H$2:$H$26,1)-SUMIFS(Data!$L$2:$L$26,Data!$A$2:$A$26,SUMIFS(Sequence!$C:$C,Sequence!$A:$A,$B$4,Sequence!$B:$B,4)&amp;"|"&amp;"N"),3))</f>
        <v>1.27</v>
      </c>
      <c r="AL4" s="8" t="str">
        <f aca="false">IF(AJ4="","",IF(OR(AJ4&gt;=0.5,AND(AK4&gt;0.1,AJ4&gt;=AK4)),"X",IF(AJ4&lt;=0.1,"Y","–")))</f>
        <v>Y</v>
      </c>
      <c r="AM4" s="8" t="str">
        <f aca="false">IF(OR(AG4="A",Responses!$AH$5="",Responses!$AH$5=0),"",IF(_xlfn.MAXIFS(Data!$L$2:$L$26,Data!$B$2:$B$26,SUMIFS(Sequence!$C:$C,Sequence!$A:$A,$B$4,Sequence!$B:$B,4),Data!$I$2:$I$26,1)-SUMIFS(Data!$L$2:$L$26,Data!$A$2:$A$26,SUMIFS(Sequence!$C:$C,Sequence!$A:$A,$B$4,Sequence!$B:$B,4)&amp;"|"&amp;INDEX(Selector!$D$2:$D$37,MATCH(SUMIFS(Sequence!$C:$C,Sequence!$A:$A,$B$4,Sequence!$B:$B,4)*100+ROUND(Responses!$AH$5*10,0),Selector!$A$2:$A$37,0)))&gt;=0.3,"X",IF(_xlfn.MAXIFS(Data!$L$2:$L$26,Data!$B$2:$B$26,SUMIFS(Sequence!$C:$C,Sequence!$A:$A,$B$4,Sequence!$B:$B,4),Data!$I$2:$I$26,1)-SUMIFS(Data!$L$2:$L$26,Data!$A$2:$A$26,SUMIFS(Sequence!$C:$C,Sequence!$A:$A,$B$4,Sequence!$B:$B,4)&amp;"|"&amp;INDEX(Selector!$D$2:$D$37,MATCH(SUMIFS(Sequence!$C:$C,Sequence!$A:$A,$B$4,Sequence!$B:$B,4)*100+ROUND(Responses!$AH$5*10,0),Selector!$A$2:$A$37,0)))&lt;=0.05,"Y","–")))</f>
        <v>Y</v>
      </c>
      <c r="AN4" s="8" t="str">
        <f aca="false">IF(OR(AG4&lt;&gt;"A",Responses!$AG$5=""),"",IF(AND(Responses!$AG$5=1,Responses!$AI$5&gt;=6,Responses!$D$5+Responses!$E$5&gt;=6),"X",IF(OR(AND(Responses!$AG$5&gt;=2,Responses!$D$5+Responses!$E$5&gt;=6),AND(Responses!$AG$5=1,Responses!$C$5&gt;=7)),"Y","–")))</f>
        <v/>
      </c>
      <c r="AO4" s="8" t="str">
        <f aca="false">INDEX(Sequence!$D$2:$D$11,MATCH(1,INDEX((Sequence!$A$2:$A$11=$B$4)*(Sequence!$B$2:$B$11=5),0),0))</f>
        <v>R</v>
      </c>
      <c r="AP4" s="8" t="n">
        <f aca="false">(Responses!$AJ$5=SUMIFS(Sequence!$E:$E,Sequence!$A:$A,$B$4,Sequence!$B:$B,5))*1+(Responses!$AK$5=SUMIFS(Sequence!$F:$F,Sequence!$A:$A,$B$4,Sequence!$B:$B,5))*1+(Responses!$AL$5=SUMIFS(Sequence!$G:$G,Sequence!$A:$A,$B$4,Sequence!$B:$B,5))*1</f>
        <v>2</v>
      </c>
      <c r="AQ4" s="8" t="str">
        <f aca="false">IF(Responses!$AJ$5="","",IF(AP4&lt;=1,"X",IF(AP4=3,"Y","–")))</f>
        <v>–</v>
      </c>
      <c r="AR4" s="8" t="n">
        <f aca="false">IF(OR(AO4="A",Responses!$AM$5=""),"",ROUND(_xlfn.MAXIFS(Data!$L$2:$L$26,Data!$B$2:$B$26,SUMIFS(Sequence!$C:$C,Sequence!$A:$A,$B$4,Sequence!$B:$B,5),Data!$H$2:$H$26,1)-SUMIFS(Data!$L$2:$L$26,Data!$A$2:$A$26,SUMIFS(Sequence!$C:$C,Sequence!$A:$A,$B$4,Sequence!$B:$B,5)&amp;"|"&amp;IF(AO4="R",INDEX(Repetition!$D$2:$D$20,MATCH($B$4&amp;"|"&amp;Responses!$AM$5,Repetition!$A$2:$A$20,0)),Responses!$AM$5)),3))</f>
        <v>0</v>
      </c>
      <c r="AS4" s="8" t="n">
        <f aca="false">IF(AO4="A","",ROUND(_xlfn.MAXIFS(Data!$L$2:$L$26,Data!$B$2:$B$26,SUMIFS(Sequence!$C:$C,Sequence!$A:$A,$B$4,Sequence!$B:$B,5),Data!$H$2:$H$26,1)-SUMIFS(Data!$L$2:$L$26,Data!$A$2:$A$26,SUMIFS(Sequence!$C:$C,Sequence!$A:$A,$B$4,Sequence!$B:$B,5)&amp;"|"&amp;"N"),3))</f>
        <v>1.183</v>
      </c>
      <c r="AT4" s="8" t="str">
        <f aca="false">IF(AR4="","",IF(OR(AR4&gt;=0.5,AND(AS4&gt;0.1,AR4&gt;=AS4)),"X",IF(AR4&lt;=0.1,"Y","–")))</f>
        <v>Y</v>
      </c>
      <c r="AU4" s="8" t="str">
        <f aca="false">IF(OR(AO4="A",Responses!$AN$5="",Responses!$AN$5=0),"",IF(_xlfn.MAXIFS(Data!$L$2:$L$26,Data!$B$2:$B$26,SUMIFS(Sequence!$C:$C,Sequence!$A:$A,$B$4,Sequence!$B:$B,5),Data!$I$2:$I$26,1)-SUMIFS(Data!$L$2:$L$26,Data!$A$2:$A$26,SUMIFS(Sequence!$C:$C,Sequence!$A:$A,$B$4,Sequence!$B:$B,5)&amp;"|"&amp;INDEX(Selector!$D$2:$D$37,MATCH(SUMIFS(Sequence!$C:$C,Sequence!$A:$A,$B$4,Sequence!$B:$B,5)*100+ROUND(Responses!$AN$5*10,0),Selector!$A$2:$A$37,0)))&gt;=0.3,"X",IF(_xlfn.MAXIFS(Data!$L$2:$L$26,Data!$B$2:$B$26,SUMIFS(Sequence!$C:$C,Sequence!$A:$A,$B$4,Sequence!$B:$B,5),Data!$I$2:$I$26,1)-SUMIFS(Data!$L$2:$L$26,Data!$A$2:$A$26,SUMIFS(Sequence!$C:$C,Sequence!$A:$A,$B$4,Sequence!$B:$B,5)&amp;"|"&amp;INDEX(Selector!$D$2:$D$37,MATCH(SUMIFS(Sequence!$C:$C,Sequence!$A:$A,$B$4,Sequence!$B:$B,5)*100+ROUND(Responses!$AN$5*10,0),Selector!$A$2:$A$37,0)))&lt;=0.05,"Y","–")))</f>
        <v>Y</v>
      </c>
      <c r="AV4" s="8" t="str">
        <f aca="false">IF(OR(AO4&lt;&gt;"A",Responses!$AM$5=""),"",IF(AND(Responses!$AM$5=1,Responses!$AO$5&gt;=6,Responses!$D$5+Responses!$E$5&gt;=6),"X",IF(OR(AND(Responses!$AM$5&gt;=2,Responses!$D$5+Responses!$E$5&gt;=6),AND(Responses!$AM$5=1,Responses!$C$5&gt;=7)),"Y","–")))</f>
        <v/>
      </c>
      <c r="AW4" s="8" t="str">
        <f aca="false">IF(Responses!$BE$5="","",IF(OR(Responses!$BE$5&lt;25,Responses!$BE$5&gt;150),"X",IF(AND(Responses!$BE$5&gt;=45,Responses!$BE$5&lt;=100),"Y","–")))</f>
        <v/>
      </c>
      <c r="AX4" s="8" t="n">
        <f aca="false">IF(OR(AR4="",IF($B$4="X",AB4,L4)=""),"",ABS(AR4-IF($B$4="X",AB4,L4)))</f>
        <v>0</v>
      </c>
      <c r="AY4" s="8" t="str">
        <f aca="false">IF(AX4="","",IF(AX4&gt;0.25,"X",IF(AX4=0,"Y","–")))</f>
        <v>Y</v>
      </c>
      <c r="AZ4" s="8" t="n">
        <f aca="false">(Responses!$AP$5=INDEX(VignetteKeys!$B$2:$B$3,MATCH($B$4,VignetteKeys!$A$2:$A$3,0)))*1+(Responses!$AQ$5=INDEX(VignetteKeys!$C$2:$C$3,MATCH($B$4,VignetteKeys!$A$2:$A$3,0)))*1+(Responses!$AR$5=INDEX(VignetteKeys!$D$2:$D$3,MATCH($B$4,VignetteKeys!$A$2:$A$3,0)))*1+(Responses!$AS$5=INDEX(VignetteKeys!$E$2:$E$3,MATCH($B$4,VignetteKeys!$A$2:$A$3,0)))*1</f>
        <v>3</v>
      </c>
      <c r="BA4" s="8" t="str">
        <f aca="false">IF(Responses!$AP$5="","",IF(OR(AND(Responses!$AP$5&lt;&gt;INDEX(VignetteKeys!$B$2:$B$3,MATCH($B$4,VignetteKeys!$A$2:$A$3,0)),Responses!$AQ$5&lt;&gt;INDEX(VignetteKeys!$C$2:$C$3,MATCH($B$4,VignetteKeys!$A$2:$A$3,0))),AND(Responses!$AR$5&lt;&gt;INDEX(VignetteKeys!$D$2:$D$3,MATCH($B$4,VignetteKeys!$A$2:$A$3,0)),Responses!$AS$5&lt;&gt;INDEX(VignetteKeys!$E$2:$E$3,MATCH($B$4,VignetteKeys!$A$2:$A$3,0)))),"X",IF(AZ4=4,"Y","–")))</f>
        <v>–</v>
      </c>
      <c r="BB4" s="8" t="str">
        <f aca="false">IF(Responses!$AT$5="","",IF(Responses!$AT$5&lt;&gt;4,"X","Y"))</f>
        <v>Y</v>
      </c>
      <c r="BC4" s="8" t="n">
        <f aca="false">IF(COUNT(Responses!$AU$5:$BD$5)&lt;10,"",((Responses!$AU$5-1)+(Responses!$AW$5-1)+(Responses!$AY$5-1)+(Responses!$BA$5-1)+(Responses!$BC$5-1)+(5-Responses!$AV$5)+(5-Responses!$AX$5)+(5-Responses!$AZ$5)+(5-Responses!$BB$5)+(5-Responses!$BD$5))*2.5)</f>
        <v>75</v>
      </c>
      <c r="BD4" s="8" t="str">
        <f aca="false">IF(BC4="","",IF(BC4&lt;50,"X",IF(BC4&gt;=68,"Y","–")))</f>
        <v>Y</v>
      </c>
      <c r="BE4" s="8" t="n">
        <f aca="false">IF((IF(AND(I4&lt;&gt;"A",ISNUMBER(Responses!$Q$5)),1,0)+IF(AND(Q4&lt;&gt;"A",ISNUMBER(Responses!$W$5)),1,0)+IF(AND(Y4&lt;&gt;"A",ISNUMBER(Responses!$AC$5)),1,0)+IF(AND(AG4&lt;&gt;"A",ISNUMBER(Responses!$AI$5)),1,0)+IF(AND(AO4&lt;&gt;"A",ISNUMBER(Responses!$AO$5)),1,0))=0,"",ROUND((IF(AND(I4&lt;&gt;"A",ISNUMBER(Responses!$Q$5)),Responses!$Q$5,0)+IF(AND(Q4&lt;&gt;"A",ISNUMBER(Responses!$W$5)),Responses!$W$5,0)+IF(AND(Y4&lt;&gt;"A",ISNUMBER(Responses!$AC$5)),Responses!$AC$5,0)+IF(AND(AG4&lt;&gt;"A",ISNUMBER(Responses!$AI$5)),Responses!$AI$5,0)+IF(AND(AO4&lt;&gt;"A",ISNUMBER(Responses!$AO$5)),Responses!$AO$5,0))/(IF(AND(I4&lt;&gt;"A",ISNUMBER(Responses!$Q$5)),1,0)+IF(AND(Q4&lt;&gt;"A",ISNUMBER(Responses!$W$5)),1,0)+IF(AND(Y4&lt;&gt;"A",ISNUMBER(Responses!$AC$5)),1,0)+IF(AND(AG4&lt;&gt;"A",ISNUMBER(Responses!$AI$5)),1,0)+IF(AND(AO4&lt;&gt;"A",ISNUMBER(Responses!$AO$5)),1,0)),2))</f>
        <v>6.67</v>
      </c>
      <c r="BF4" s="8" t="n">
        <f aca="false">IF((IF(AND(I4="A",ISNUMBER(Responses!$Q$5)),1,0)+IF(AND(Q4="A",ISNUMBER(Responses!$W$5)),1,0)+IF(AND(Y4="A",ISNUMBER(Responses!$AC$5)),1,0)+IF(AND(AG4="A",ISNUMBER(Responses!$AI$5)),1,0)+IF(AND(AO4="A",ISNUMBER(Responses!$AO$5)),1,0))=0,"",ROUND((IF(AND(I4="A",ISNUMBER(Responses!$Q$5)),Responses!$Q$5,0)+IF(AND(Q4="A",ISNUMBER(Responses!$W$5)),Responses!$W$5,0)+IF(AND(Y4="A",ISNUMBER(Responses!$AC$5)),Responses!$AC$5,0)+IF(AND(AG4="A",ISNUMBER(Responses!$AI$5)),Responses!$AI$5,0)+IF(AND(AO4="A",ISNUMBER(Responses!$AO$5)),Responses!$AO$5,0))/(IF(AND(I4="A",ISNUMBER(Responses!$Q$5)),1,0)+IF(AND(Q4="A",ISNUMBER(Responses!$W$5)),1,0)+IF(AND(Y4="A",ISNUMBER(Responses!$AC$5)),1,0)+IF(AND(AG4="A",ISNUMBER(Responses!$AI$5)),1,0)+IF(AND(AO4="A",ISNUMBER(Responses!$AO$5)),1,0)),2))</f>
        <v>6</v>
      </c>
      <c r="BG4" s="8" t="str">
        <f aca="false">IF(OR(BE4="",BF4=""),"",IF(BF4-BE4&gt;=3,"X",IF(BE4&gt;=BF4,"Y","–")))</f>
        <v>Y</v>
      </c>
      <c r="BH4" s="8" t="n">
        <f aca="false">(D4="X")*1+(F4="X")*1+(H4="X")*1+(K4="X")*1+(N4="X")*1+(O4="X")*1+(P4="X")*1+(S4="X")*1+(V4="X")*1+(W4="X")*1+(X4="X")*1+(AA4="X")*1+(AD4="X")*1+(AE4="X")*1+(AF4="X")*1+(AI4="X")*1+(AL4="X")*1+(AM4="X")*1+(AN4="X")*1+(AQ4="X")*1+(AT4="X")*1+(AU4="X")*1+(AV4="X")*1+(AW4="X")*1+(AY4="X")*1+(BA4="X")*1+(BB4="X")*1+(BD4="X")*1+(BG4="X")*1</f>
        <v>2</v>
      </c>
    </row>
    <row r="5" customFormat="false" ht="15" hidden="false" customHeight="false" outlineLevel="0" collapsed="false">
      <c r="A5" s="4" t="str">
        <f aca="false">Responses!$A$6</f>
        <v>P04</v>
      </c>
      <c r="B5" s="4" t="str">
        <f aca="false">Responses!$B$6</f>
        <v>Y</v>
      </c>
      <c r="C5" s="8" t="n">
        <f aca="false">SUM(Responses!$C$6,Responses!$D$6,Responses!$E$6)</f>
        <v>10</v>
      </c>
      <c r="D5" s="8" t="str">
        <f aca="false">IF(C5=0,"",IF(C5&lt;&gt;10,"X","Y"))</f>
        <v>Y</v>
      </c>
      <c r="E5" s="8" t="n">
        <f aca="false">IF(OR(Responses!$F$6="",Responses!$F$6&gt;6),"",MAX(ABS(Responses!$C$6-INDEX(Profiles!$C$2:$C$7,Responses!$F$6)),ABS(Responses!$D$6-INDEX(Profiles!$D$2:$D$7,Responses!$F$6)),ABS(Responses!$E$6-INDEX(Profiles!$E$2:$E$7,Responses!$F$6))))</f>
        <v>4</v>
      </c>
      <c r="F5" s="8" t="str">
        <f aca="false">IF(E5="","",IF(E5&gt;=4,"X",IF(E5&lt;=2,"Y","–")))</f>
        <v>X</v>
      </c>
      <c r="G5" s="8" t="n">
        <f aca="false">(Responses!$G$6=2)*1+(Responses!$H$6=1)*1+(Responses!$I$6=2)*1+(Responses!$J$6=2)*1+(Responses!$K$6=2)*1</f>
        <v>5</v>
      </c>
      <c r="H5" s="8" t="str">
        <f aca="false">IF(Responses!$G$6="","",IF(G5&lt;=3,"X",IF(G5=5,"Y","–")))</f>
        <v>Y</v>
      </c>
      <c r="I5" s="8" t="str">
        <f aca="false">INDEX(Sequence!$D$2:$D$11,MATCH(1,INDEX((Sequence!$A$2:$A$11=$B$5)*(Sequence!$B$2:$B$11=1),0),0))</f>
        <v>B</v>
      </c>
      <c r="J5" s="8" t="n">
        <f aca="false">(Responses!$L$6=SUMIFS(Sequence!$E:$E,Sequence!$A:$A,$B$5,Sequence!$B:$B,1))*1+(Responses!$M$6=SUMIFS(Sequence!$F:$F,Sequence!$A:$A,$B$5,Sequence!$B:$B,1))*1+(Responses!$N$6=SUMIFS(Sequence!$G:$G,Sequence!$A:$A,$B$5,Sequence!$B:$B,1))*1</f>
        <v>3</v>
      </c>
      <c r="K5" s="8" t="str">
        <f aca="false">IF(Responses!$L$6="","",IF(J5&lt;=1,"X",IF(J5=3,"Y","–")))</f>
        <v>Y</v>
      </c>
      <c r="L5" s="8" t="n">
        <f aca="false">IF(OR(I5="A",Responses!$O$6=""),"",ROUND(_xlfn.MAXIFS(Data!$M$2:$M$26,Data!$B$2:$B$26,SUMIFS(Sequence!$C:$C,Sequence!$A:$A,$B$5,Sequence!$B:$B,1),Data!$H$2:$H$26,1)-SUMIFS(Data!$M$2:$M$26,Data!$A$2:$A$26,SUMIFS(Sequence!$C:$C,Sequence!$A:$A,$B$5,Sequence!$B:$B,1)&amp;"|"&amp;IF(I5="R",INDEX(Repetition!$D$2:$D$20,MATCH($B$5&amp;"|"&amp;Responses!$O$6,Repetition!$A$2:$A$20,0)),Responses!$O$6)),3))</f>
        <v>0</v>
      </c>
      <c r="M5" s="8" t="n">
        <f aca="false">IF(I5="A","",ROUND(_xlfn.MAXIFS(Data!$M$2:$M$26,Data!$B$2:$B$26,SUMIFS(Sequence!$C:$C,Sequence!$A:$A,$B$5,Sequence!$B:$B,1),Data!$H$2:$H$26,1)-SUMIFS(Data!$M$2:$M$26,Data!$A$2:$A$26,SUMIFS(Sequence!$C:$C,Sequence!$A:$A,$B$5,Sequence!$B:$B,1)&amp;"|"&amp;"N"),3))</f>
        <v>1.166</v>
      </c>
      <c r="N5" s="8" t="str">
        <f aca="false">IF(L5="","",IF(OR(L5&gt;=0.5,AND(M5&gt;0.1,L5&gt;=M5)),"X",IF(L5&lt;=0.1,"Y","–")))</f>
        <v>Y</v>
      </c>
      <c r="O5" s="8" t="str">
        <f aca="false">IF(OR(I5="A",Responses!$P$6="",Responses!$P$6=0),"",IF(_xlfn.MAXIFS(Data!$M$2:$M$26,Data!$B$2:$B$26,SUMIFS(Sequence!$C:$C,Sequence!$A:$A,$B$5,Sequence!$B:$B,1),Data!$I$2:$I$26,1)-SUMIFS(Data!$M$2:$M$26,Data!$A$2:$A$26,SUMIFS(Sequence!$C:$C,Sequence!$A:$A,$B$5,Sequence!$B:$B,1)&amp;"|"&amp;INDEX(Selector!$D$2:$D$37,MATCH(SUMIFS(Sequence!$C:$C,Sequence!$A:$A,$B$5,Sequence!$B:$B,1)*100+ROUND(Responses!$P$6*10,0),Selector!$A$2:$A$37,0)))&gt;=0.3,"X",IF(_xlfn.MAXIFS(Data!$M$2:$M$26,Data!$B$2:$B$26,SUMIFS(Sequence!$C:$C,Sequence!$A:$A,$B$5,Sequence!$B:$B,1),Data!$I$2:$I$26,1)-SUMIFS(Data!$M$2:$M$26,Data!$A$2:$A$26,SUMIFS(Sequence!$C:$C,Sequence!$A:$A,$B$5,Sequence!$B:$B,1)&amp;"|"&amp;INDEX(Selector!$D$2:$D$37,MATCH(SUMIFS(Sequence!$C:$C,Sequence!$A:$A,$B$5,Sequence!$B:$B,1)*100+ROUND(Responses!$P$6*10,0),Selector!$A$2:$A$37,0)))&lt;=0.05,"Y","–")))</f>
        <v>Y</v>
      </c>
      <c r="P5" s="8" t="str">
        <f aca="false">IF(OR(I5&lt;&gt;"A",Responses!$O$6=""),"",IF(AND(Responses!$O$6=1,Responses!$Q$6&gt;=6,Responses!$D$6+Responses!$E$6&gt;=6),"X",IF(OR(AND(Responses!$O$6&gt;=2,Responses!$D$6+Responses!$E$6&gt;=6),AND(Responses!$O$6=1,Responses!$C$6&gt;=7)),"Y","–")))</f>
        <v/>
      </c>
      <c r="Q5" s="8" t="str">
        <f aca="false">INDEX(Sequence!$D$2:$D$11,MATCH(1,INDEX((Sequence!$A$2:$A$11=$B$5)*(Sequence!$B$2:$B$11=2),0),0))</f>
        <v>B</v>
      </c>
      <c r="R5" s="8" t="n">
        <f aca="false">(Responses!$R$6=SUMIFS(Sequence!$E:$E,Sequence!$A:$A,$B$5,Sequence!$B:$B,2))*1+(Responses!$S$6=SUMIFS(Sequence!$F:$F,Sequence!$A:$A,$B$5,Sequence!$B:$B,2))*1+(Responses!$T$6=SUMIFS(Sequence!$G:$G,Sequence!$A:$A,$B$5,Sequence!$B:$B,2))*1</f>
        <v>3</v>
      </c>
      <c r="S5" s="8" t="str">
        <f aca="false">IF(Responses!$R$6="","",IF(R5&lt;=1,"X",IF(R5=3,"Y","–")))</f>
        <v>Y</v>
      </c>
      <c r="T5" s="8" t="n">
        <f aca="false">IF(OR(Q5="A",Responses!$U$6=""),"",ROUND(_xlfn.MAXIFS(Data!$M$2:$M$26,Data!$B$2:$B$26,SUMIFS(Sequence!$C:$C,Sequence!$A:$A,$B$5,Sequence!$B:$B,2),Data!$H$2:$H$26,1)-SUMIFS(Data!$M$2:$M$26,Data!$A$2:$A$26,SUMIFS(Sequence!$C:$C,Sequence!$A:$A,$B$5,Sequence!$B:$B,2)&amp;"|"&amp;IF(Q5="R",INDEX(Repetition!$D$2:$D$20,MATCH($B$5&amp;"|"&amp;Responses!$U$6,Repetition!$A$2:$A$20,0)),Responses!$U$6)),3))</f>
        <v>0</v>
      </c>
      <c r="U5" s="8" t="n">
        <f aca="false">IF(Q5="A","",ROUND(_xlfn.MAXIFS(Data!$M$2:$M$26,Data!$B$2:$B$26,SUMIFS(Sequence!$C:$C,Sequence!$A:$A,$B$5,Sequence!$B:$B,2),Data!$H$2:$H$26,1)-SUMIFS(Data!$M$2:$M$26,Data!$A$2:$A$26,SUMIFS(Sequence!$C:$C,Sequence!$A:$A,$B$5,Sequence!$B:$B,2)&amp;"|"&amp;"N"),3))</f>
        <v>0.588</v>
      </c>
      <c r="V5" s="8" t="str">
        <f aca="false">IF(T5="","",IF(OR(T5&gt;=0.5,AND(U5&gt;0.1,T5&gt;=U5)),"X",IF(T5&lt;=0.1,"Y","–")))</f>
        <v>Y</v>
      </c>
      <c r="W5" s="8" t="str">
        <f aca="false">IF(OR(Q5="A",Responses!$V$6="",Responses!$V$6=0),"",IF(_xlfn.MAXIFS(Data!$M$2:$M$26,Data!$B$2:$B$26,SUMIFS(Sequence!$C:$C,Sequence!$A:$A,$B$5,Sequence!$B:$B,2),Data!$I$2:$I$26,1)-SUMIFS(Data!$M$2:$M$26,Data!$A$2:$A$26,SUMIFS(Sequence!$C:$C,Sequence!$A:$A,$B$5,Sequence!$B:$B,2)&amp;"|"&amp;INDEX(Selector!$D$2:$D$37,MATCH(SUMIFS(Sequence!$C:$C,Sequence!$A:$A,$B$5,Sequence!$B:$B,2)*100+ROUND(Responses!$V$6*10,0),Selector!$A$2:$A$37,0)))&gt;=0.3,"X",IF(_xlfn.MAXIFS(Data!$M$2:$M$26,Data!$B$2:$B$26,SUMIFS(Sequence!$C:$C,Sequence!$A:$A,$B$5,Sequence!$B:$B,2),Data!$I$2:$I$26,1)-SUMIFS(Data!$M$2:$M$26,Data!$A$2:$A$26,SUMIFS(Sequence!$C:$C,Sequence!$A:$A,$B$5,Sequence!$B:$B,2)&amp;"|"&amp;INDEX(Selector!$D$2:$D$37,MATCH(SUMIFS(Sequence!$C:$C,Sequence!$A:$A,$B$5,Sequence!$B:$B,2)*100+ROUND(Responses!$V$6*10,0),Selector!$A$2:$A$37,0)))&lt;=0.05,"Y","–")))</f>
        <v>Y</v>
      </c>
      <c r="X5" s="8" t="str">
        <f aca="false">IF(OR(Q5&lt;&gt;"A",Responses!$U$6=""),"",IF(AND(Responses!$U$6=1,Responses!$W$6&gt;=6,Responses!$D$6+Responses!$E$6&gt;=6),"X",IF(OR(AND(Responses!$U$6&gt;=2,Responses!$D$6+Responses!$E$6&gt;=6),AND(Responses!$U$6=1,Responses!$C$6&gt;=7)),"Y","–")))</f>
        <v/>
      </c>
      <c r="Y5" s="8" t="str">
        <f aca="false">INDEX(Sequence!$D$2:$D$11,MATCH(1,INDEX((Sequence!$A$2:$A$11=$B$5)*(Sequence!$B$2:$B$11=3),0),0))</f>
        <v>A</v>
      </c>
      <c r="Z5" s="8" t="n">
        <f aca="false">(Responses!$X$6=SUMIFS(Sequence!$E:$E,Sequence!$A:$A,$B$5,Sequence!$B:$B,3))*1+(Responses!$Y$6=SUMIFS(Sequence!$F:$F,Sequence!$A:$A,$B$5,Sequence!$B:$B,3))*1+(Responses!$Z$6=SUMIFS(Sequence!$G:$G,Sequence!$A:$A,$B$5,Sequence!$B:$B,3))*1</f>
        <v>3</v>
      </c>
      <c r="AA5" s="8" t="str">
        <f aca="false">IF(Responses!$X$6="","",IF(Z5&lt;=1,"X",IF(Z5=3,"Y","–")))</f>
        <v>Y</v>
      </c>
      <c r="AB5" s="8" t="str">
        <f aca="false">IF(OR(Y5="A",Responses!$AA$6=""),"",ROUND(_xlfn.MAXIFS(Data!$M$2:$M$26,Data!$B$2:$B$26,SUMIFS(Sequence!$C:$C,Sequence!$A:$A,$B$5,Sequence!$B:$B,3),Data!$H$2:$H$26,1)-SUMIFS(Data!$M$2:$M$26,Data!$A$2:$A$26,SUMIFS(Sequence!$C:$C,Sequence!$A:$A,$B$5,Sequence!$B:$B,3)&amp;"|"&amp;IF(Y5="R",INDEX(Repetition!$D$2:$D$20,MATCH($B$5&amp;"|"&amp;Responses!$AA$6,Repetition!$A$2:$A$20,0)),Responses!$AA$6)),3))</f>
        <v/>
      </c>
      <c r="AC5" s="8" t="str">
        <f aca="false">IF(Y5="A","",ROUND(_xlfn.MAXIFS(Data!$M$2:$M$26,Data!$B$2:$B$26,SUMIFS(Sequence!$C:$C,Sequence!$A:$A,$B$5,Sequence!$B:$B,3),Data!$H$2:$H$26,1)-SUMIFS(Data!$M$2:$M$26,Data!$A$2:$A$26,SUMIFS(Sequence!$C:$C,Sequence!$A:$A,$B$5,Sequence!$B:$B,3)&amp;"|"&amp;"N"),3))</f>
        <v/>
      </c>
      <c r="AD5" s="8" t="str">
        <f aca="false">IF(AB5="","",IF(OR(AB5&gt;=0.5,AND(AC5&gt;0.1,AB5&gt;=AC5)),"X",IF(AB5&lt;=0.1,"Y","–")))</f>
        <v/>
      </c>
      <c r="AE5" s="8" t="str">
        <f aca="false">IF(OR(Y5="A",Responses!$AB$6="",Responses!$AB$6=0),"",IF(_xlfn.MAXIFS(Data!$M$2:$M$26,Data!$B$2:$B$26,SUMIFS(Sequence!$C:$C,Sequence!$A:$A,$B$5,Sequence!$B:$B,3),Data!$I$2:$I$26,1)-SUMIFS(Data!$M$2:$M$26,Data!$A$2:$A$26,SUMIFS(Sequence!$C:$C,Sequence!$A:$A,$B$5,Sequence!$B:$B,3)&amp;"|"&amp;INDEX(Selector!$D$2:$D$37,MATCH(SUMIFS(Sequence!$C:$C,Sequence!$A:$A,$B$5,Sequence!$B:$B,3)*100+ROUND(Responses!$AB$6*10,0),Selector!$A$2:$A$37,0)))&gt;=0.3,"X",IF(_xlfn.MAXIFS(Data!$M$2:$M$26,Data!$B$2:$B$26,SUMIFS(Sequence!$C:$C,Sequence!$A:$A,$B$5,Sequence!$B:$B,3),Data!$I$2:$I$26,1)-SUMIFS(Data!$M$2:$M$26,Data!$A$2:$A$26,SUMIFS(Sequence!$C:$C,Sequence!$A:$A,$B$5,Sequence!$B:$B,3)&amp;"|"&amp;INDEX(Selector!$D$2:$D$37,MATCH(SUMIFS(Sequence!$C:$C,Sequence!$A:$A,$B$5,Sequence!$B:$B,3)*100+ROUND(Responses!$AB$6*10,0),Selector!$A$2:$A$37,0)))&lt;=0.05,"Y","–")))</f>
        <v/>
      </c>
      <c r="AF5" s="8" t="str">
        <f aca="false">IF(OR(Y5&lt;&gt;"A",Responses!$AA$6=""),"",IF(AND(Responses!$AA$6=1,Responses!$AC$6&gt;=6,Responses!$D$6+Responses!$E$6&gt;=6),"X",IF(OR(AND(Responses!$AA$6&gt;=2,Responses!$D$6+Responses!$E$6&gt;=6),AND(Responses!$AA$6=1,Responses!$C$6&gt;=7)),"Y","–")))</f>
        <v>X</v>
      </c>
      <c r="AG5" s="8" t="str">
        <f aca="false">INDEX(Sequence!$D$2:$D$11,MATCH(1,INDEX((Sequence!$A$2:$A$11=$B$5)*(Sequence!$B$2:$B$11=4),0),0))</f>
        <v>A</v>
      </c>
      <c r="AH5" s="8" t="n">
        <f aca="false">(Responses!$AD$6=SUMIFS(Sequence!$E:$E,Sequence!$A:$A,$B$5,Sequence!$B:$B,4))*1+(Responses!$AE$6=SUMIFS(Sequence!$F:$F,Sequence!$A:$A,$B$5,Sequence!$B:$B,4))*1+(Responses!$AF$6=SUMIFS(Sequence!$G:$G,Sequence!$A:$A,$B$5,Sequence!$B:$B,4))*1</f>
        <v>3</v>
      </c>
      <c r="AI5" s="8" t="str">
        <f aca="false">IF(Responses!$AD$6="","",IF(AH5&lt;=1,"X",IF(AH5=3,"Y","–")))</f>
        <v>Y</v>
      </c>
      <c r="AJ5" s="8" t="str">
        <f aca="false">IF(OR(AG5="A",Responses!$AG$6=""),"",ROUND(_xlfn.MAXIFS(Data!$M$2:$M$26,Data!$B$2:$B$26,SUMIFS(Sequence!$C:$C,Sequence!$A:$A,$B$5,Sequence!$B:$B,4),Data!$H$2:$H$26,1)-SUMIFS(Data!$M$2:$M$26,Data!$A$2:$A$26,SUMIFS(Sequence!$C:$C,Sequence!$A:$A,$B$5,Sequence!$B:$B,4)&amp;"|"&amp;IF(AG5="R",INDEX(Repetition!$D$2:$D$20,MATCH($B$5&amp;"|"&amp;Responses!$AG$6,Repetition!$A$2:$A$20,0)),Responses!$AG$6)),3))</f>
        <v/>
      </c>
      <c r="AK5" s="8" t="str">
        <f aca="false">IF(AG5="A","",ROUND(_xlfn.MAXIFS(Data!$M$2:$M$26,Data!$B$2:$B$26,SUMIFS(Sequence!$C:$C,Sequence!$A:$A,$B$5,Sequence!$B:$B,4),Data!$H$2:$H$26,1)-SUMIFS(Data!$M$2:$M$26,Data!$A$2:$A$26,SUMIFS(Sequence!$C:$C,Sequence!$A:$A,$B$5,Sequence!$B:$B,4)&amp;"|"&amp;"N"),3))</f>
        <v/>
      </c>
      <c r="AL5" s="8" t="str">
        <f aca="false">IF(AJ5="","",IF(OR(AJ5&gt;=0.5,AND(AK5&gt;0.1,AJ5&gt;=AK5)),"X",IF(AJ5&lt;=0.1,"Y","–")))</f>
        <v/>
      </c>
      <c r="AM5" s="8" t="str">
        <f aca="false">IF(OR(AG5="A",Responses!$AH$6="",Responses!$AH$6=0),"",IF(_xlfn.MAXIFS(Data!$M$2:$M$26,Data!$B$2:$B$26,SUMIFS(Sequence!$C:$C,Sequence!$A:$A,$B$5,Sequence!$B:$B,4),Data!$I$2:$I$26,1)-SUMIFS(Data!$M$2:$M$26,Data!$A$2:$A$26,SUMIFS(Sequence!$C:$C,Sequence!$A:$A,$B$5,Sequence!$B:$B,4)&amp;"|"&amp;INDEX(Selector!$D$2:$D$37,MATCH(SUMIFS(Sequence!$C:$C,Sequence!$A:$A,$B$5,Sequence!$B:$B,4)*100+ROUND(Responses!$AH$6*10,0),Selector!$A$2:$A$37,0)))&gt;=0.3,"X",IF(_xlfn.MAXIFS(Data!$M$2:$M$26,Data!$B$2:$B$26,SUMIFS(Sequence!$C:$C,Sequence!$A:$A,$B$5,Sequence!$B:$B,4),Data!$I$2:$I$26,1)-SUMIFS(Data!$M$2:$M$26,Data!$A$2:$A$26,SUMIFS(Sequence!$C:$C,Sequence!$A:$A,$B$5,Sequence!$B:$B,4)&amp;"|"&amp;INDEX(Selector!$D$2:$D$37,MATCH(SUMIFS(Sequence!$C:$C,Sequence!$A:$A,$B$5,Sequence!$B:$B,4)*100+ROUND(Responses!$AH$6*10,0),Selector!$A$2:$A$37,0)))&lt;=0.05,"Y","–")))</f>
        <v/>
      </c>
      <c r="AN5" s="8" t="str">
        <f aca="false">IF(OR(AG5&lt;&gt;"A",Responses!$AG$6=""),"",IF(AND(Responses!$AG$6=1,Responses!$AI$6&gt;=6,Responses!$D$6+Responses!$E$6&gt;=6),"X",IF(OR(AND(Responses!$AG$6&gt;=2,Responses!$D$6+Responses!$E$6&gt;=6),AND(Responses!$AG$6=1,Responses!$C$6&gt;=7)),"Y","–")))</f>
        <v>Y</v>
      </c>
      <c r="AO5" s="8" t="str">
        <f aca="false">INDEX(Sequence!$D$2:$D$11,MATCH(1,INDEX((Sequence!$A$2:$A$11=$B$5)*(Sequence!$B$2:$B$11=5),0),0))</f>
        <v>R</v>
      </c>
      <c r="AP5" s="8" t="n">
        <f aca="false">(Responses!$AJ$6=SUMIFS(Sequence!$E:$E,Sequence!$A:$A,$B$5,Sequence!$B:$B,5))*1+(Responses!$AK$6=SUMIFS(Sequence!$F:$F,Sequence!$A:$A,$B$5,Sequence!$B:$B,5))*1+(Responses!$AL$6=SUMIFS(Sequence!$G:$G,Sequence!$A:$A,$B$5,Sequence!$B:$B,5))*1</f>
        <v>3</v>
      </c>
      <c r="AQ5" s="8" t="str">
        <f aca="false">IF(Responses!$AJ$6="","",IF(AP5&lt;=1,"X",IF(AP5=3,"Y","–")))</f>
        <v>Y</v>
      </c>
      <c r="AR5" s="8" t="n">
        <f aca="false">IF(OR(AO5="A",Responses!$AM$6=""),"",ROUND(_xlfn.MAXIFS(Data!$M$2:$M$26,Data!$B$2:$B$26,SUMIFS(Sequence!$C:$C,Sequence!$A:$A,$B$5,Sequence!$B:$B,5),Data!$H$2:$H$26,1)-SUMIFS(Data!$M$2:$M$26,Data!$A$2:$A$26,SUMIFS(Sequence!$C:$C,Sequence!$A:$A,$B$5,Sequence!$B:$B,5)&amp;"|"&amp;IF(AO5="R",INDEX(Repetition!$D$2:$D$20,MATCH($B$5&amp;"|"&amp;Responses!$AM$6,Repetition!$A$2:$A$20,0)),Responses!$AM$6)),3))</f>
        <v>0</v>
      </c>
      <c r="AS5" s="8" t="n">
        <f aca="false">IF(AO5="A","",ROUND(_xlfn.MAXIFS(Data!$M$2:$M$26,Data!$B$2:$B$26,SUMIFS(Sequence!$C:$C,Sequence!$A:$A,$B$5,Sequence!$B:$B,5),Data!$H$2:$H$26,1)-SUMIFS(Data!$M$2:$M$26,Data!$A$2:$A$26,SUMIFS(Sequence!$C:$C,Sequence!$A:$A,$B$5,Sequence!$B:$B,5)&amp;"|"&amp;"N"),3))</f>
        <v>1.166</v>
      </c>
      <c r="AT5" s="8" t="str">
        <f aca="false">IF(AR5="","",IF(OR(AR5&gt;=0.5,AND(AS5&gt;0.1,AR5&gt;=AS5)),"X",IF(AR5&lt;=0.1,"Y","–")))</f>
        <v>Y</v>
      </c>
      <c r="AU5" s="8" t="str">
        <f aca="false">IF(OR(AO5="A",Responses!$AN$6="",Responses!$AN$6=0),"",IF(_xlfn.MAXIFS(Data!$M$2:$M$26,Data!$B$2:$B$26,SUMIFS(Sequence!$C:$C,Sequence!$A:$A,$B$5,Sequence!$B:$B,5),Data!$I$2:$I$26,1)-SUMIFS(Data!$M$2:$M$26,Data!$A$2:$A$26,SUMIFS(Sequence!$C:$C,Sequence!$A:$A,$B$5,Sequence!$B:$B,5)&amp;"|"&amp;INDEX(Selector!$D$2:$D$37,MATCH(SUMIFS(Sequence!$C:$C,Sequence!$A:$A,$B$5,Sequence!$B:$B,5)*100+ROUND(Responses!$AN$6*10,0),Selector!$A$2:$A$37,0)))&gt;=0.3,"X",IF(_xlfn.MAXIFS(Data!$M$2:$M$26,Data!$B$2:$B$26,SUMIFS(Sequence!$C:$C,Sequence!$A:$A,$B$5,Sequence!$B:$B,5),Data!$I$2:$I$26,1)-SUMIFS(Data!$M$2:$M$26,Data!$A$2:$A$26,SUMIFS(Sequence!$C:$C,Sequence!$A:$A,$B$5,Sequence!$B:$B,5)&amp;"|"&amp;INDEX(Selector!$D$2:$D$37,MATCH(SUMIFS(Sequence!$C:$C,Sequence!$A:$A,$B$5,Sequence!$B:$B,5)*100+ROUND(Responses!$AN$6*10,0),Selector!$A$2:$A$37,0)))&lt;=0.05,"Y","–")))</f>
        <v>Y</v>
      </c>
      <c r="AV5" s="8" t="str">
        <f aca="false">IF(OR(AO5&lt;&gt;"A",Responses!$AM$6=""),"",IF(AND(Responses!$AM$6=1,Responses!$AO$6&gt;=6,Responses!$D$6+Responses!$E$6&gt;=6),"X",IF(OR(AND(Responses!$AM$6&gt;=2,Responses!$D$6+Responses!$E$6&gt;=6),AND(Responses!$AM$6=1,Responses!$C$6&gt;=7)),"Y","–")))</f>
        <v/>
      </c>
      <c r="AW5" s="8" t="str">
        <f aca="false">IF(Responses!$BE$6="","",IF(OR(Responses!$BE$6&lt;25,Responses!$BE$6&gt;150),"X",IF(AND(Responses!$BE$6&gt;=45,Responses!$BE$6&lt;=100),"Y","–")))</f>
        <v/>
      </c>
      <c r="AX5" s="8" t="n">
        <f aca="false">IF(OR(AR5="",IF($B$5="X",AB5,L5)=""),"",ABS(AR5-IF($B$5="X",AB5,L5)))</f>
        <v>0</v>
      </c>
      <c r="AY5" s="8" t="str">
        <f aca="false">IF(AX5="","",IF(AX5&gt;0.25,"X",IF(AX5=0,"Y","–")))</f>
        <v>Y</v>
      </c>
      <c r="AZ5" s="8" t="n">
        <f aca="false">(Responses!$AP$6=INDEX(VignetteKeys!$B$2:$B$3,MATCH($B$5,VignetteKeys!$A$2:$A$3,0)))*1+(Responses!$AQ$6=INDEX(VignetteKeys!$C$2:$C$3,MATCH($B$5,VignetteKeys!$A$2:$A$3,0)))*1+(Responses!$AR$6=INDEX(VignetteKeys!$D$2:$D$3,MATCH($B$5,VignetteKeys!$A$2:$A$3,0)))*1+(Responses!$AS$6=INDEX(VignetteKeys!$E$2:$E$3,MATCH($B$5,VignetteKeys!$A$2:$A$3,0)))*1</f>
        <v>4</v>
      </c>
      <c r="BA5" s="8" t="str">
        <f aca="false">IF(Responses!$AP$6="","",IF(OR(AND(Responses!$AP$6&lt;&gt;INDEX(VignetteKeys!$B$2:$B$3,MATCH($B$5,VignetteKeys!$A$2:$A$3,0)),Responses!$AQ$6&lt;&gt;INDEX(VignetteKeys!$C$2:$C$3,MATCH($B$5,VignetteKeys!$A$2:$A$3,0))),AND(Responses!$AR$6&lt;&gt;INDEX(VignetteKeys!$D$2:$D$3,MATCH($B$5,VignetteKeys!$A$2:$A$3,0)),Responses!$AS$6&lt;&gt;INDEX(VignetteKeys!$E$2:$E$3,MATCH($B$5,VignetteKeys!$A$2:$A$3,0)))),"X",IF(AZ5=4,"Y","–")))</f>
        <v>Y</v>
      </c>
      <c r="BB5" s="8" t="str">
        <f aca="false">IF(Responses!$AT$6="","",IF(Responses!$AT$6&lt;&gt;4,"X","Y"))</f>
        <v>Y</v>
      </c>
      <c r="BC5" s="8" t="str">
        <f aca="false">IF(COUNT(Responses!$AU$6:$BD$6)&lt;10,"",((Responses!$AU$6-1)+(Responses!$AW$6-1)+(Responses!$AY$6-1)+(Responses!$BA$6-1)+(Responses!$BC$6-1)+(5-Responses!$AV$6)+(5-Responses!$AX$6)+(5-Responses!$AZ$6)+(5-Responses!$BB$6)+(5-Responses!$BD$6))*2.5)</f>
        <v/>
      </c>
      <c r="BD5" s="8" t="str">
        <f aca="false">IF(BC5="","",IF(BC5&lt;50,"X",IF(BC5&gt;=68,"Y","–")))</f>
        <v/>
      </c>
      <c r="BE5" s="8" t="n">
        <f aca="false">IF((IF(AND(I5&lt;&gt;"A",ISNUMBER(Responses!$Q$6)),1,0)+IF(AND(Q5&lt;&gt;"A",ISNUMBER(Responses!$W$6)),1,0)+IF(AND(Y5&lt;&gt;"A",ISNUMBER(Responses!$AC$6)),1,0)+IF(AND(AG5&lt;&gt;"A",ISNUMBER(Responses!$AI$6)),1,0)+IF(AND(AO5&lt;&gt;"A",ISNUMBER(Responses!$AO$6)),1,0))=0,"",ROUND((IF(AND(I5&lt;&gt;"A",ISNUMBER(Responses!$Q$6)),Responses!$Q$6,0)+IF(AND(Q5&lt;&gt;"A",ISNUMBER(Responses!$W$6)),Responses!$W$6,0)+IF(AND(Y5&lt;&gt;"A",ISNUMBER(Responses!$AC$6)),Responses!$AC$6,0)+IF(AND(AG5&lt;&gt;"A",ISNUMBER(Responses!$AI$6)),Responses!$AI$6,0)+IF(AND(AO5&lt;&gt;"A",ISNUMBER(Responses!$AO$6)),Responses!$AO$6,0))/(IF(AND(I5&lt;&gt;"A",ISNUMBER(Responses!$Q$6)),1,0)+IF(AND(Q5&lt;&gt;"A",ISNUMBER(Responses!$W$6)),1,0)+IF(AND(Y5&lt;&gt;"A",ISNUMBER(Responses!$AC$6)),1,0)+IF(AND(AG5&lt;&gt;"A",ISNUMBER(Responses!$AI$6)),1,0)+IF(AND(AO5&lt;&gt;"A",ISNUMBER(Responses!$AO$6)),1,0)),2))</f>
        <v>5.67</v>
      </c>
      <c r="BF5" s="8" t="n">
        <f aca="false">IF((IF(AND(I5="A",ISNUMBER(Responses!$Q$6)),1,0)+IF(AND(Q5="A",ISNUMBER(Responses!$W$6)),1,0)+IF(AND(Y5="A",ISNUMBER(Responses!$AC$6)),1,0)+IF(AND(AG5="A",ISNUMBER(Responses!$AI$6)),1,0)+IF(AND(AO5="A",ISNUMBER(Responses!$AO$6)),1,0))=0,"",ROUND((IF(AND(I5="A",ISNUMBER(Responses!$Q$6)),Responses!$Q$6,0)+IF(AND(Q5="A",ISNUMBER(Responses!$W$6)),Responses!$W$6,0)+IF(AND(Y5="A",ISNUMBER(Responses!$AC$6)),Responses!$AC$6,0)+IF(AND(AG5="A",ISNUMBER(Responses!$AI$6)),Responses!$AI$6,0)+IF(AND(AO5="A",ISNUMBER(Responses!$AO$6)),Responses!$AO$6,0))/(IF(AND(I5="A",ISNUMBER(Responses!$Q$6)),1,0)+IF(AND(Q5="A",ISNUMBER(Responses!$W$6)),1,0)+IF(AND(Y5="A",ISNUMBER(Responses!$AC$6)),1,0)+IF(AND(AG5="A",ISNUMBER(Responses!$AI$6)),1,0)+IF(AND(AO5="A",ISNUMBER(Responses!$AO$6)),1,0)),2))</f>
        <v>5.5</v>
      </c>
      <c r="BG5" s="8" t="str">
        <f aca="false">IF(OR(BE5="",BF5=""),"",IF(BF5-BE5&gt;=3,"X",IF(BE5&gt;=BF5,"Y","–")))</f>
        <v>Y</v>
      </c>
      <c r="BH5" s="8" t="n">
        <f aca="false">(D5="X")*1+(F5="X")*1+(H5="X")*1+(K5="X")*1+(N5="X")*1+(O5="X")*1+(P5="X")*1+(S5="X")*1+(V5="X")*1+(W5="X")*1+(X5="X")*1+(AA5="X")*1+(AD5="X")*1+(AE5="X")*1+(AF5="X")*1+(AI5="X")*1+(AL5="X")*1+(AM5="X")*1+(AN5="X")*1+(AQ5="X")*1+(AT5="X")*1+(AU5="X")*1+(AV5="X")*1+(AW5="X")*1+(AY5="X")*1+(BA5="X")*1+(BB5="X")*1+(BD5="X")*1+(BG5="X")*1</f>
        <v>2</v>
      </c>
    </row>
    <row r="6" customFormat="false" ht="15" hidden="false" customHeight="false" outlineLevel="0" collapsed="false">
      <c r="A6" s="4" t="str">
        <f aca="false">Responses!$A$7</f>
        <v>P05</v>
      </c>
      <c r="B6" s="4" t="str">
        <f aca="false">Responses!$B$7</f>
        <v>X</v>
      </c>
      <c r="C6" s="8" t="n">
        <f aca="false">SUM(Responses!$C$7,Responses!$D$7,Responses!$E$7)</f>
        <v>10</v>
      </c>
      <c r="D6" s="8" t="str">
        <f aca="false">IF(C6=0,"",IF(C6&lt;&gt;10,"X","Y"))</f>
        <v>Y</v>
      </c>
      <c r="E6" s="8" t="n">
        <f aca="false">IF(OR(Responses!$F$7="",Responses!$F$7&gt;6),"",MAX(ABS(Responses!$C$7-INDEX(Profiles!$C$2:$C$7,Responses!$F$7)),ABS(Responses!$D$7-INDEX(Profiles!$D$2:$D$7,Responses!$F$7)),ABS(Responses!$E$7-INDEX(Profiles!$E$2:$E$7,Responses!$F$7))))</f>
        <v>1</v>
      </c>
      <c r="F6" s="8" t="str">
        <f aca="false">IF(E6="","",IF(E6&gt;=4,"X",IF(E6&lt;=2,"Y","–")))</f>
        <v>Y</v>
      </c>
      <c r="G6" s="8" t="n">
        <f aca="false">(Responses!$G$7=2)*1+(Responses!$H$7=1)*1+(Responses!$I$7=2)*1+(Responses!$J$7=2)*1+(Responses!$K$7=2)*1</f>
        <v>5</v>
      </c>
      <c r="H6" s="8" t="str">
        <f aca="false">IF(Responses!$G$7="","",IF(G6&lt;=3,"X",IF(G6=5,"Y","–")))</f>
        <v>Y</v>
      </c>
      <c r="I6" s="8" t="str">
        <f aca="false">INDEX(Sequence!$D$2:$D$11,MATCH(1,INDEX((Sequence!$A$2:$A$11=$B$6)*(Sequence!$B$2:$B$11=1),0),0))</f>
        <v>A</v>
      </c>
      <c r="J6" s="8" t="n">
        <f aca="false">(Responses!$L$7=SUMIFS(Sequence!$E:$E,Sequence!$A:$A,$B$6,Sequence!$B:$B,1))*1+(Responses!$M$7=SUMIFS(Sequence!$F:$F,Sequence!$A:$A,$B$6,Sequence!$B:$B,1))*1+(Responses!$N$7=SUMIFS(Sequence!$G:$G,Sequence!$A:$A,$B$6,Sequence!$B:$B,1))*1</f>
        <v>3</v>
      </c>
      <c r="K6" s="8" t="str">
        <f aca="false">IF(Responses!$L$7="","",IF(J6&lt;=1,"X",IF(J6=3,"Y","–")))</f>
        <v>Y</v>
      </c>
      <c r="L6" s="8" t="str">
        <f aca="false">IF(OR(I6="A",Responses!$O$7=""),"",ROUND(_xlfn.MAXIFS(Data!$N$2:$N$26,Data!$B$2:$B$26,SUMIFS(Sequence!$C:$C,Sequence!$A:$A,$B$6,Sequence!$B:$B,1),Data!$H$2:$H$26,1)-SUMIFS(Data!$N$2:$N$26,Data!$A$2:$A$26,SUMIFS(Sequence!$C:$C,Sequence!$A:$A,$B$6,Sequence!$B:$B,1)&amp;"|"&amp;IF(I6="R",INDEX(Repetition!$D$2:$D$20,MATCH($B$6&amp;"|"&amp;Responses!$O$7,Repetition!$A$2:$A$20,0)),Responses!$O$7)),3))</f>
        <v/>
      </c>
      <c r="M6" s="8" t="str">
        <f aca="false">IF(I6="A","",ROUND(_xlfn.MAXIFS(Data!$N$2:$N$26,Data!$B$2:$B$26,SUMIFS(Sequence!$C:$C,Sequence!$A:$A,$B$6,Sequence!$B:$B,1),Data!$H$2:$H$26,1)-SUMIFS(Data!$N$2:$N$26,Data!$A$2:$A$26,SUMIFS(Sequence!$C:$C,Sequence!$A:$A,$B$6,Sequence!$B:$B,1)&amp;"|"&amp;"N"),3))</f>
        <v/>
      </c>
      <c r="N6" s="8" t="str">
        <f aca="false">IF(L6="","",IF(OR(L6&gt;=0.5,AND(M6&gt;0.1,L6&gt;=M6)),"X",IF(L6&lt;=0.1,"Y","–")))</f>
        <v/>
      </c>
      <c r="O6" s="8" t="str">
        <f aca="false">IF(OR(I6="A",Responses!$P$7="",Responses!$P$7=0),"",IF(_xlfn.MAXIFS(Data!$N$2:$N$26,Data!$B$2:$B$26,SUMIFS(Sequence!$C:$C,Sequence!$A:$A,$B$6,Sequence!$B:$B,1),Data!$I$2:$I$26,1)-SUMIFS(Data!$N$2:$N$26,Data!$A$2:$A$26,SUMIFS(Sequence!$C:$C,Sequence!$A:$A,$B$6,Sequence!$B:$B,1)&amp;"|"&amp;INDEX(Selector!$D$2:$D$37,MATCH(SUMIFS(Sequence!$C:$C,Sequence!$A:$A,$B$6,Sequence!$B:$B,1)*100+ROUND(Responses!$P$7*10,0),Selector!$A$2:$A$37,0)))&gt;=0.3,"X",IF(_xlfn.MAXIFS(Data!$N$2:$N$26,Data!$B$2:$B$26,SUMIFS(Sequence!$C:$C,Sequence!$A:$A,$B$6,Sequence!$B:$B,1),Data!$I$2:$I$26,1)-SUMIFS(Data!$N$2:$N$26,Data!$A$2:$A$26,SUMIFS(Sequence!$C:$C,Sequence!$A:$A,$B$6,Sequence!$B:$B,1)&amp;"|"&amp;INDEX(Selector!$D$2:$D$37,MATCH(SUMIFS(Sequence!$C:$C,Sequence!$A:$A,$B$6,Sequence!$B:$B,1)*100+ROUND(Responses!$P$7*10,0),Selector!$A$2:$A$37,0)))&lt;=0.05,"Y","–")))</f>
        <v/>
      </c>
      <c r="P6" s="8" t="str">
        <f aca="false">IF(OR(I6&lt;&gt;"A",Responses!$O$7=""),"",IF(AND(Responses!$O$7=1,Responses!$Q$7&gt;=6,Responses!$D$7+Responses!$E$7&gt;=6),"X",IF(OR(AND(Responses!$O$7&gt;=2,Responses!$D$7+Responses!$E$7&gt;=6),AND(Responses!$O$7=1,Responses!$C$7&gt;=7)),"Y","–")))</f>
        <v>Y</v>
      </c>
      <c r="Q6" s="8" t="str">
        <f aca="false">INDEX(Sequence!$D$2:$D$11,MATCH(1,INDEX((Sequence!$A$2:$A$11=$B$6)*(Sequence!$B$2:$B$11=2),0),0))</f>
        <v>A</v>
      </c>
      <c r="R6" s="8" t="n">
        <f aca="false">(Responses!$R$7=SUMIFS(Sequence!$E:$E,Sequence!$A:$A,$B$6,Sequence!$B:$B,2))*1+(Responses!$S$7=SUMIFS(Sequence!$F:$F,Sequence!$A:$A,$B$6,Sequence!$B:$B,2))*1+(Responses!$T$7=SUMIFS(Sequence!$G:$G,Sequence!$A:$A,$B$6,Sequence!$B:$B,2))*1</f>
        <v>3</v>
      </c>
      <c r="S6" s="8" t="str">
        <f aca="false">IF(Responses!$R$7="","",IF(R6&lt;=1,"X",IF(R6=3,"Y","–")))</f>
        <v>Y</v>
      </c>
      <c r="T6" s="8" t="str">
        <f aca="false">IF(OR(Q6="A",Responses!$U$7=""),"",ROUND(_xlfn.MAXIFS(Data!$N$2:$N$26,Data!$B$2:$B$26,SUMIFS(Sequence!$C:$C,Sequence!$A:$A,$B$6,Sequence!$B:$B,2),Data!$H$2:$H$26,1)-SUMIFS(Data!$N$2:$N$26,Data!$A$2:$A$26,SUMIFS(Sequence!$C:$C,Sequence!$A:$A,$B$6,Sequence!$B:$B,2)&amp;"|"&amp;IF(Q6="R",INDEX(Repetition!$D$2:$D$20,MATCH($B$6&amp;"|"&amp;Responses!$U$7,Repetition!$A$2:$A$20,0)),Responses!$U$7)),3))</f>
        <v/>
      </c>
      <c r="U6" s="8" t="str">
        <f aca="false">IF(Q6="A","",ROUND(_xlfn.MAXIFS(Data!$N$2:$N$26,Data!$B$2:$B$26,SUMIFS(Sequence!$C:$C,Sequence!$A:$A,$B$6,Sequence!$B:$B,2),Data!$H$2:$H$26,1)-SUMIFS(Data!$N$2:$N$26,Data!$A$2:$A$26,SUMIFS(Sequence!$C:$C,Sequence!$A:$A,$B$6,Sequence!$B:$B,2)&amp;"|"&amp;"N"),3))</f>
        <v/>
      </c>
      <c r="V6" s="8" t="str">
        <f aca="false">IF(T6="","",IF(OR(T6&gt;=0.5,AND(U6&gt;0.1,T6&gt;=U6)),"X",IF(T6&lt;=0.1,"Y","–")))</f>
        <v/>
      </c>
      <c r="W6" s="8" t="str">
        <f aca="false">IF(OR(Q6="A",Responses!$V$7="",Responses!$V$7=0),"",IF(_xlfn.MAXIFS(Data!$N$2:$N$26,Data!$B$2:$B$26,SUMIFS(Sequence!$C:$C,Sequence!$A:$A,$B$6,Sequence!$B:$B,2),Data!$I$2:$I$26,1)-SUMIFS(Data!$N$2:$N$26,Data!$A$2:$A$26,SUMIFS(Sequence!$C:$C,Sequence!$A:$A,$B$6,Sequence!$B:$B,2)&amp;"|"&amp;INDEX(Selector!$D$2:$D$37,MATCH(SUMIFS(Sequence!$C:$C,Sequence!$A:$A,$B$6,Sequence!$B:$B,2)*100+ROUND(Responses!$V$7*10,0),Selector!$A$2:$A$37,0)))&gt;=0.3,"X",IF(_xlfn.MAXIFS(Data!$N$2:$N$26,Data!$B$2:$B$26,SUMIFS(Sequence!$C:$C,Sequence!$A:$A,$B$6,Sequence!$B:$B,2),Data!$I$2:$I$26,1)-SUMIFS(Data!$N$2:$N$26,Data!$A$2:$A$26,SUMIFS(Sequence!$C:$C,Sequence!$A:$A,$B$6,Sequence!$B:$B,2)&amp;"|"&amp;INDEX(Selector!$D$2:$D$37,MATCH(SUMIFS(Sequence!$C:$C,Sequence!$A:$A,$B$6,Sequence!$B:$B,2)*100+ROUND(Responses!$V$7*10,0),Selector!$A$2:$A$37,0)))&lt;=0.05,"Y","–")))</f>
        <v/>
      </c>
      <c r="X6" s="8" t="str">
        <f aca="false">IF(OR(Q6&lt;&gt;"A",Responses!$U$7=""),"",IF(AND(Responses!$U$7=1,Responses!$W$7&gt;=6,Responses!$D$7+Responses!$E$7&gt;=6),"X",IF(OR(AND(Responses!$U$7&gt;=2,Responses!$D$7+Responses!$E$7&gt;=6),AND(Responses!$U$7=1,Responses!$C$7&gt;=7)),"Y","–")))</f>
        <v>Y</v>
      </c>
      <c r="Y6" s="8" t="str">
        <f aca="false">INDEX(Sequence!$D$2:$D$11,MATCH(1,INDEX((Sequence!$A$2:$A$11=$B$6)*(Sequence!$B$2:$B$11=3),0),0))</f>
        <v>B</v>
      </c>
      <c r="Z6" s="8" t="n">
        <f aca="false">(Responses!$X$7=SUMIFS(Sequence!$E:$E,Sequence!$A:$A,$B$6,Sequence!$B:$B,3))*1+(Responses!$Y$7=SUMIFS(Sequence!$F:$F,Sequence!$A:$A,$B$6,Sequence!$B:$B,3))*1+(Responses!$Z$7=SUMIFS(Sequence!$G:$G,Sequence!$A:$A,$B$6,Sequence!$B:$B,3))*1</f>
        <v>3</v>
      </c>
      <c r="AA6" s="8" t="str">
        <f aca="false">IF(Responses!$X$7="","",IF(Z6&lt;=1,"X",IF(Z6=3,"Y","–")))</f>
        <v>Y</v>
      </c>
      <c r="AB6" s="8" t="n">
        <f aca="false">IF(OR(Y6="A",Responses!$AA$7=""),"",ROUND(_xlfn.MAXIFS(Data!$N$2:$N$26,Data!$B$2:$B$26,SUMIFS(Sequence!$C:$C,Sequence!$A:$A,$B$6,Sequence!$B:$B,3),Data!$H$2:$H$26,1)-SUMIFS(Data!$N$2:$N$26,Data!$A$2:$A$26,SUMIFS(Sequence!$C:$C,Sequence!$A:$A,$B$6,Sequence!$B:$B,3)&amp;"|"&amp;IF(Y6="R",INDEX(Repetition!$D$2:$D$20,MATCH($B$6&amp;"|"&amp;Responses!$AA$7,Repetition!$A$2:$A$20,0)),Responses!$AA$7)),3))</f>
        <v>0</v>
      </c>
      <c r="AC6" s="8" t="n">
        <f aca="false">IF(Y6="A","",ROUND(_xlfn.MAXIFS(Data!$N$2:$N$26,Data!$B$2:$B$26,SUMIFS(Sequence!$C:$C,Sequence!$A:$A,$B$6,Sequence!$B:$B,3),Data!$H$2:$H$26,1)-SUMIFS(Data!$N$2:$N$26,Data!$A$2:$A$26,SUMIFS(Sequence!$C:$C,Sequence!$A:$A,$B$6,Sequence!$B:$B,3)&amp;"|"&amp;"N"),3))</f>
        <v>0.97</v>
      </c>
      <c r="AD6" s="8" t="str">
        <f aca="false">IF(AB6="","",IF(OR(AB6&gt;=0.5,AND(AC6&gt;0.1,AB6&gt;=AC6)),"X",IF(AB6&lt;=0.1,"Y","–")))</f>
        <v>Y</v>
      </c>
      <c r="AE6" s="8" t="str">
        <f aca="false">IF(OR(Y6="A",Responses!$AB$7="",Responses!$AB$7=0),"",IF(_xlfn.MAXIFS(Data!$N$2:$N$26,Data!$B$2:$B$26,SUMIFS(Sequence!$C:$C,Sequence!$A:$A,$B$6,Sequence!$B:$B,3),Data!$I$2:$I$26,1)-SUMIFS(Data!$N$2:$N$26,Data!$A$2:$A$26,SUMIFS(Sequence!$C:$C,Sequence!$A:$A,$B$6,Sequence!$B:$B,3)&amp;"|"&amp;INDEX(Selector!$D$2:$D$37,MATCH(SUMIFS(Sequence!$C:$C,Sequence!$A:$A,$B$6,Sequence!$B:$B,3)*100+ROUND(Responses!$AB$7*10,0),Selector!$A$2:$A$37,0)))&gt;=0.3,"X",IF(_xlfn.MAXIFS(Data!$N$2:$N$26,Data!$B$2:$B$26,SUMIFS(Sequence!$C:$C,Sequence!$A:$A,$B$6,Sequence!$B:$B,3),Data!$I$2:$I$26,1)-SUMIFS(Data!$N$2:$N$26,Data!$A$2:$A$26,SUMIFS(Sequence!$C:$C,Sequence!$A:$A,$B$6,Sequence!$B:$B,3)&amp;"|"&amp;INDEX(Selector!$D$2:$D$37,MATCH(SUMIFS(Sequence!$C:$C,Sequence!$A:$A,$B$6,Sequence!$B:$B,3)*100+ROUND(Responses!$AB$7*10,0),Selector!$A$2:$A$37,0)))&lt;=0.05,"Y","–")))</f>
        <v>Y</v>
      </c>
      <c r="AF6" s="8" t="str">
        <f aca="false">IF(OR(Y6&lt;&gt;"A",Responses!$AA$7=""),"",IF(AND(Responses!$AA$7=1,Responses!$AC$7&gt;=6,Responses!$D$7+Responses!$E$7&gt;=6),"X",IF(OR(AND(Responses!$AA$7&gt;=2,Responses!$D$7+Responses!$E$7&gt;=6),AND(Responses!$AA$7=1,Responses!$C$7&gt;=7)),"Y","–")))</f>
        <v/>
      </c>
      <c r="AG6" s="8" t="str">
        <f aca="false">INDEX(Sequence!$D$2:$D$11,MATCH(1,INDEX((Sequence!$A$2:$A$11=$B$6)*(Sequence!$B$2:$B$11=4),0),0))</f>
        <v>B</v>
      </c>
      <c r="AH6" s="8" t="n">
        <f aca="false">(Responses!$AD$7=SUMIFS(Sequence!$E:$E,Sequence!$A:$A,$B$6,Sequence!$B:$B,4))*1+(Responses!$AE$7=SUMIFS(Sequence!$F:$F,Sequence!$A:$A,$B$6,Sequence!$B:$B,4))*1+(Responses!$AF$7=SUMIFS(Sequence!$G:$G,Sequence!$A:$A,$B$6,Sequence!$B:$B,4))*1</f>
        <v>3</v>
      </c>
      <c r="AI6" s="8" t="str">
        <f aca="false">IF(Responses!$AD$7="","",IF(AH6&lt;=1,"X",IF(AH6=3,"Y","–")))</f>
        <v>Y</v>
      </c>
      <c r="AJ6" s="8" t="n">
        <f aca="false">IF(OR(AG6="A",Responses!$AG$7=""),"",ROUND(_xlfn.MAXIFS(Data!$N$2:$N$26,Data!$B$2:$B$26,SUMIFS(Sequence!$C:$C,Sequence!$A:$A,$B$6,Sequence!$B:$B,4),Data!$H$2:$H$26,1)-SUMIFS(Data!$N$2:$N$26,Data!$A$2:$A$26,SUMIFS(Sequence!$C:$C,Sequence!$A:$A,$B$6,Sequence!$B:$B,4)&amp;"|"&amp;IF(AG6="R",INDEX(Repetition!$D$2:$D$20,MATCH($B$6&amp;"|"&amp;Responses!$AG$7,Repetition!$A$2:$A$20,0)),Responses!$AG$7)),3))</f>
        <v>0</v>
      </c>
      <c r="AK6" s="8" t="n">
        <f aca="false">IF(AG6="A","",ROUND(_xlfn.MAXIFS(Data!$N$2:$N$26,Data!$B$2:$B$26,SUMIFS(Sequence!$C:$C,Sequence!$A:$A,$B$6,Sequence!$B:$B,4),Data!$H$2:$H$26,1)-SUMIFS(Data!$N$2:$N$26,Data!$A$2:$A$26,SUMIFS(Sequence!$C:$C,Sequence!$A:$A,$B$6,Sequence!$B:$B,4)&amp;"|"&amp;"N"),3))</f>
        <v>1.339</v>
      </c>
      <c r="AL6" s="8" t="str">
        <f aca="false">IF(AJ6="","",IF(OR(AJ6&gt;=0.5,AND(AK6&gt;0.1,AJ6&gt;=AK6)),"X",IF(AJ6&lt;=0.1,"Y","–")))</f>
        <v>Y</v>
      </c>
      <c r="AM6" s="8" t="str">
        <f aca="false">IF(OR(AG6="A",Responses!$AH$7="",Responses!$AH$7=0),"",IF(_xlfn.MAXIFS(Data!$N$2:$N$26,Data!$B$2:$B$26,SUMIFS(Sequence!$C:$C,Sequence!$A:$A,$B$6,Sequence!$B:$B,4),Data!$I$2:$I$26,1)-SUMIFS(Data!$N$2:$N$26,Data!$A$2:$A$26,SUMIFS(Sequence!$C:$C,Sequence!$A:$A,$B$6,Sequence!$B:$B,4)&amp;"|"&amp;INDEX(Selector!$D$2:$D$37,MATCH(SUMIFS(Sequence!$C:$C,Sequence!$A:$A,$B$6,Sequence!$B:$B,4)*100+ROUND(Responses!$AH$7*10,0),Selector!$A$2:$A$37,0)))&gt;=0.3,"X",IF(_xlfn.MAXIFS(Data!$N$2:$N$26,Data!$B$2:$B$26,SUMIFS(Sequence!$C:$C,Sequence!$A:$A,$B$6,Sequence!$B:$B,4),Data!$I$2:$I$26,1)-SUMIFS(Data!$N$2:$N$26,Data!$A$2:$A$26,SUMIFS(Sequence!$C:$C,Sequence!$A:$A,$B$6,Sequence!$B:$B,4)&amp;"|"&amp;INDEX(Selector!$D$2:$D$37,MATCH(SUMIFS(Sequence!$C:$C,Sequence!$A:$A,$B$6,Sequence!$B:$B,4)*100+ROUND(Responses!$AH$7*10,0),Selector!$A$2:$A$37,0)))&lt;=0.05,"Y","–")))</f>
        <v>Y</v>
      </c>
      <c r="AN6" s="8" t="str">
        <f aca="false">IF(OR(AG6&lt;&gt;"A",Responses!$AG$7=""),"",IF(AND(Responses!$AG$7=1,Responses!$AI$7&gt;=6,Responses!$D$7+Responses!$E$7&gt;=6),"X",IF(OR(AND(Responses!$AG$7&gt;=2,Responses!$D$7+Responses!$E$7&gt;=6),AND(Responses!$AG$7=1,Responses!$C$7&gt;=7)),"Y","–")))</f>
        <v/>
      </c>
      <c r="AO6" s="8" t="str">
        <f aca="false">INDEX(Sequence!$D$2:$D$11,MATCH(1,INDEX((Sequence!$A$2:$A$11=$B$6)*(Sequence!$B$2:$B$11=5),0),0))</f>
        <v>R</v>
      </c>
      <c r="AP6" s="8" t="n">
        <f aca="false">(Responses!$AJ$7=SUMIFS(Sequence!$E:$E,Sequence!$A:$A,$B$6,Sequence!$B:$B,5))*1+(Responses!$AK$7=SUMIFS(Sequence!$F:$F,Sequence!$A:$A,$B$6,Sequence!$B:$B,5))*1+(Responses!$AL$7=SUMIFS(Sequence!$G:$G,Sequence!$A:$A,$B$6,Sequence!$B:$B,5))*1</f>
        <v>3</v>
      </c>
      <c r="AQ6" s="8" t="str">
        <f aca="false">IF(Responses!$AJ$7="","",IF(AP6&lt;=1,"X",IF(AP6=3,"Y","–")))</f>
        <v>Y</v>
      </c>
      <c r="AR6" s="8" t="n">
        <f aca="false">IF(OR(AO6="A",Responses!$AM$7=""),"",ROUND(_xlfn.MAXIFS(Data!$N$2:$N$26,Data!$B$2:$B$26,SUMIFS(Sequence!$C:$C,Sequence!$A:$A,$B$6,Sequence!$B:$B,5),Data!$H$2:$H$26,1)-SUMIFS(Data!$N$2:$N$26,Data!$A$2:$A$26,SUMIFS(Sequence!$C:$C,Sequence!$A:$A,$B$6,Sequence!$B:$B,5)&amp;"|"&amp;IF(AO6="R",INDEX(Repetition!$D$2:$D$20,MATCH($B$6&amp;"|"&amp;Responses!$AM$7,Repetition!$A$2:$A$20,0)),Responses!$AM$7)),3))</f>
        <v>0</v>
      </c>
      <c r="AS6" s="8" t="n">
        <f aca="false">IF(AO6="A","",ROUND(_xlfn.MAXIFS(Data!$N$2:$N$26,Data!$B$2:$B$26,SUMIFS(Sequence!$C:$C,Sequence!$A:$A,$B$6,Sequence!$B:$B,5),Data!$H$2:$H$26,1)-SUMIFS(Data!$N$2:$N$26,Data!$A$2:$A$26,SUMIFS(Sequence!$C:$C,Sequence!$A:$A,$B$6,Sequence!$B:$B,5)&amp;"|"&amp;"N"),3))</f>
        <v>0.97</v>
      </c>
      <c r="AT6" s="8" t="str">
        <f aca="false">IF(AR6="","",IF(OR(AR6&gt;=0.5,AND(AS6&gt;0.1,AR6&gt;=AS6)),"X",IF(AR6&lt;=0.1,"Y","–")))</f>
        <v>Y</v>
      </c>
      <c r="AU6" s="8" t="str">
        <f aca="false">IF(OR(AO6="A",Responses!$AN$7="",Responses!$AN$7=0),"",IF(_xlfn.MAXIFS(Data!$N$2:$N$26,Data!$B$2:$B$26,SUMIFS(Sequence!$C:$C,Sequence!$A:$A,$B$6,Sequence!$B:$B,5),Data!$I$2:$I$26,1)-SUMIFS(Data!$N$2:$N$26,Data!$A$2:$A$26,SUMIFS(Sequence!$C:$C,Sequence!$A:$A,$B$6,Sequence!$B:$B,5)&amp;"|"&amp;INDEX(Selector!$D$2:$D$37,MATCH(SUMIFS(Sequence!$C:$C,Sequence!$A:$A,$B$6,Sequence!$B:$B,5)*100+ROUND(Responses!$AN$7*10,0),Selector!$A$2:$A$37,0)))&gt;=0.3,"X",IF(_xlfn.MAXIFS(Data!$N$2:$N$26,Data!$B$2:$B$26,SUMIFS(Sequence!$C:$C,Sequence!$A:$A,$B$6,Sequence!$B:$B,5),Data!$I$2:$I$26,1)-SUMIFS(Data!$N$2:$N$26,Data!$A$2:$A$26,SUMIFS(Sequence!$C:$C,Sequence!$A:$A,$B$6,Sequence!$B:$B,5)&amp;"|"&amp;INDEX(Selector!$D$2:$D$37,MATCH(SUMIFS(Sequence!$C:$C,Sequence!$A:$A,$B$6,Sequence!$B:$B,5)*100+ROUND(Responses!$AN$7*10,0),Selector!$A$2:$A$37,0)))&lt;=0.05,"Y","–")))</f>
        <v>Y</v>
      </c>
      <c r="AV6" s="8" t="str">
        <f aca="false">IF(OR(AO6&lt;&gt;"A",Responses!$AM$7=""),"",IF(AND(Responses!$AM$7=1,Responses!$AO$7&gt;=6,Responses!$D$7+Responses!$E$7&gt;=6),"X",IF(OR(AND(Responses!$AM$7&gt;=2,Responses!$D$7+Responses!$E$7&gt;=6),AND(Responses!$AM$7=1,Responses!$C$7&gt;=7)),"Y","–")))</f>
        <v/>
      </c>
      <c r="AW6" s="8" t="str">
        <f aca="false">IF(Responses!$BE$7="","",IF(OR(Responses!$BE$7&lt;25,Responses!$BE$7&gt;150),"X",IF(AND(Responses!$BE$7&gt;=45,Responses!$BE$7&lt;=100),"Y","–")))</f>
        <v/>
      </c>
      <c r="AX6" s="8" t="n">
        <f aca="false">IF(OR(AR6="",IF($B$6="X",AB6,L6)=""),"",ABS(AR6-IF($B$6="X",AB6,L6)))</f>
        <v>0</v>
      </c>
      <c r="AY6" s="8" t="str">
        <f aca="false">IF(AX6="","",IF(AX6&gt;0.25,"X",IF(AX6=0,"Y","–")))</f>
        <v>Y</v>
      </c>
      <c r="AZ6" s="8" t="n">
        <f aca="false">(Responses!$AP$7=INDEX(VignetteKeys!$B$2:$B$3,MATCH($B$6,VignetteKeys!$A$2:$A$3,0)))*1+(Responses!$AQ$7=INDEX(VignetteKeys!$C$2:$C$3,MATCH($B$6,VignetteKeys!$A$2:$A$3,0)))*1+(Responses!$AR$7=INDEX(VignetteKeys!$D$2:$D$3,MATCH($B$6,VignetteKeys!$A$2:$A$3,0)))*1+(Responses!$AS$7=INDEX(VignetteKeys!$E$2:$E$3,MATCH($B$6,VignetteKeys!$A$2:$A$3,0)))*1</f>
        <v>4</v>
      </c>
      <c r="BA6" s="8" t="str">
        <f aca="false">IF(Responses!$AP$7="","",IF(OR(AND(Responses!$AP$7&lt;&gt;INDEX(VignetteKeys!$B$2:$B$3,MATCH($B$6,VignetteKeys!$A$2:$A$3,0)),Responses!$AQ$7&lt;&gt;INDEX(VignetteKeys!$C$2:$C$3,MATCH($B$6,VignetteKeys!$A$2:$A$3,0))),AND(Responses!$AR$7&lt;&gt;INDEX(VignetteKeys!$D$2:$D$3,MATCH($B$6,VignetteKeys!$A$2:$A$3,0)),Responses!$AS$7&lt;&gt;INDEX(VignetteKeys!$E$2:$E$3,MATCH($B$6,VignetteKeys!$A$2:$A$3,0)))),"X",IF(AZ6=4,"Y","–")))</f>
        <v>Y</v>
      </c>
      <c r="BB6" s="8" t="str">
        <f aca="false">IF(Responses!$AT$7="","",IF(Responses!$AT$7&lt;&gt;4,"X","Y"))</f>
        <v>Y</v>
      </c>
      <c r="BC6" s="8" t="n">
        <f aca="false">IF(COUNT(Responses!$AU$7:$BD$7)&lt;10,"",((Responses!$AU$7-1)+(Responses!$AW$7-1)+(Responses!$AY$7-1)+(Responses!$BA$7-1)+(Responses!$BC$7-1)+(5-Responses!$AV$7)+(5-Responses!$AX$7)+(5-Responses!$AZ$7)+(5-Responses!$BB$7)+(5-Responses!$BD$7))*2.5)</f>
        <v>80</v>
      </c>
      <c r="BD6" s="8" t="str">
        <f aca="false">IF(BC6="","",IF(BC6&lt;50,"X",IF(BC6&gt;=68,"Y","–")))</f>
        <v>Y</v>
      </c>
      <c r="BE6" s="8" t="n">
        <f aca="false">IF((IF(AND(I6&lt;&gt;"A",ISNUMBER(Responses!$Q$7)),1,0)+IF(AND(Q6&lt;&gt;"A",ISNUMBER(Responses!$W$7)),1,0)+IF(AND(Y6&lt;&gt;"A",ISNUMBER(Responses!$AC$7)),1,0)+IF(AND(AG6&lt;&gt;"A",ISNUMBER(Responses!$AI$7)),1,0)+IF(AND(AO6&lt;&gt;"A",ISNUMBER(Responses!$AO$7)),1,0))=0,"",ROUND((IF(AND(I6&lt;&gt;"A",ISNUMBER(Responses!$Q$7)),Responses!$Q$7,0)+IF(AND(Q6&lt;&gt;"A",ISNUMBER(Responses!$W$7)),Responses!$W$7,0)+IF(AND(Y6&lt;&gt;"A",ISNUMBER(Responses!$AC$7)),Responses!$AC$7,0)+IF(AND(AG6&lt;&gt;"A",ISNUMBER(Responses!$AI$7)),Responses!$AI$7,0)+IF(AND(AO6&lt;&gt;"A",ISNUMBER(Responses!$AO$7)),Responses!$AO$7,0))/(IF(AND(I6&lt;&gt;"A",ISNUMBER(Responses!$Q$7)),1,0)+IF(AND(Q6&lt;&gt;"A",ISNUMBER(Responses!$W$7)),1,0)+IF(AND(Y6&lt;&gt;"A",ISNUMBER(Responses!$AC$7)),1,0)+IF(AND(AG6&lt;&gt;"A",ISNUMBER(Responses!$AI$7)),1,0)+IF(AND(AO6&lt;&gt;"A",ISNUMBER(Responses!$AO$7)),1,0)),2))</f>
        <v>5.33</v>
      </c>
      <c r="BF6" s="8" t="n">
        <f aca="false">IF((IF(AND(I6="A",ISNUMBER(Responses!$Q$7)),1,0)+IF(AND(Q6="A",ISNUMBER(Responses!$W$7)),1,0)+IF(AND(Y6="A",ISNUMBER(Responses!$AC$7)),1,0)+IF(AND(AG6="A",ISNUMBER(Responses!$AI$7)),1,0)+IF(AND(AO6="A",ISNUMBER(Responses!$AO$7)),1,0))=0,"",ROUND((IF(AND(I6="A",ISNUMBER(Responses!$Q$7)),Responses!$Q$7,0)+IF(AND(Q6="A",ISNUMBER(Responses!$W$7)),Responses!$W$7,0)+IF(AND(Y6="A",ISNUMBER(Responses!$AC$7)),Responses!$AC$7,0)+IF(AND(AG6="A",ISNUMBER(Responses!$AI$7)),Responses!$AI$7,0)+IF(AND(AO6="A",ISNUMBER(Responses!$AO$7)),Responses!$AO$7,0))/(IF(AND(I6="A",ISNUMBER(Responses!$Q$7)),1,0)+IF(AND(Q6="A",ISNUMBER(Responses!$W$7)),1,0)+IF(AND(Y6="A",ISNUMBER(Responses!$AC$7)),1,0)+IF(AND(AG6="A",ISNUMBER(Responses!$AI$7)),1,0)+IF(AND(AO6="A",ISNUMBER(Responses!$AO$7)),1,0)),2))</f>
        <v>4.5</v>
      </c>
      <c r="BG6" s="8" t="str">
        <f aca="false">IF(OR(BE6="",BF6=""),"",IF(BF6-BE6&gt;=3,"X",IF(BE6&gt;=BF6,"Y","–")))</f>
        <v>Y</v>
      </c>
      <c r="BH6" s="8" t="n">
        <f aca="false">(D6="X")*1+(F6="X")*1+(H6="X")*1+(K6="X")*1+(N6="X")*1+(O6="X")*1+(P6="X")*1+(S6="X")*1+(V6="X")*1+(W6="X")*1+(X6="X")*1+(AA6="X")*1+(AD6="X")*1+(AE6="X")*1+(AF6="X")*1+(AI6="X")*1+(AL6="X")*1+(AM6="X")*1+(AN6="X")*1+(AQ6="X")*1+(AT6="X")*1+(AU6="X")*1+(AV6="X")*1+(AW6="X")*1+(AY6="X")*1+(BA6="X")*1+(BB6="X")*1+(BD6="X")*1+(BG6="X")*1</f>
        <v>0</v>
      </c>
    </row>
  </sheetData>
  <conditionalFormatting sqref="C2:BH6">
    <cfRule type="expression" priority="2" aboveAverage="0" equalAverage="0" bottom="0" percent="0" rank="0" text="" dxfId="0">
      <formula>C2="X"</formula>
    </cfRule>
    <cfRule type="expression" priority="3" aboveAverage="0" equalAverage="0" bottom="0" percent="0" rank="0" text="" dxfId="1">
      <formula>C2="Y"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5" t="s">
        <v>105</v>
      </c>
      <c r="B1" s="5" t="s">
        <v>218</v>
      </c>
      <c r="C1" s="5" t="s">
        <v>219</v>
      </c>
    </row>
    <row r="2" customFormat="false" ht="15" hidden="false" customHeight="false" outlineLevel="0" collapsed="false">
      <c r="A2" s="0" t="s">
        <v>155</v>
      </c>
      <c r="B2" s="0" t="s">
        <v>220</v>
      </c>
      <c r="C2" s="0" t="n">
        <v>1</v>
      </c>
    </row>
    <row r="3" customFormat="false" ht="15" hidden="false" customHeight="false" outlineLevel="0" collapsed="false">
      <c r="A3" s="0" t="s">
        <v>155</v>
      </c>
      <c r="B3" s="0" t="s">
        <v>221</v>
      </c>
      <c r="C3" s="0" t="n">
        <v>1</v>
      </c>
    </row>
    <row r="4" customFormat="false" ht="15" hidden="false" customHeight="false" outlineLevel="0" collapsed="false">
      <c r="A4" s="0" t="s">
        <v>155</v>
      </c>
      <c r="B4" s="0" t="s">
        <v>222</v>
      </c>
      <c r="C4" s="0" t="n">
        <v>1</v>
      </c>
    </row>
    <row r="5" customFormat="false" ht="15" hidden="false" customHeight="false" outlineLevel="0" collapsed="false">
      <c r="A5" s="0" t="s">
        <v>155</v>
      </c>
      <c r="B5" s="0" t="s">
        <v>223</v>
      </c>
      <c r="C5" s="0" t="n">
        <v>1</v>
      </c>
    </row>
    <row r="6" customFormat="false" ht="15" hidden="false" customHeight="false" outlineLevel="0" collapsed="false">
      <c r="A6" s="0" t="s">
        <v>155</v>
      </c>
      <c r="B6" s="0" t="s">
        <v>224</v>
      </c>
      <c r="C6" s="0" t="n">
        <v>1</v>
      </c>
    </row>
    <row r="7" customFormat="false" ht="15" hidden="false" customHeight="false" outlineLevel="0" collapsed="false">
      <c r="A7" s="0" t="s">
        <v>155</v>
      </c>
      <c r="B7" s="0" t="s">
        <v>225</v>
      </c>
      <c r="C7" s="0" t="n">
        <v>1</v>
      </c>
    </row>
    <row r="8" customFormat="false" ht="15" hidden="false" customHeight="false" outlineLevel="0" collapsed="false">
      <c r="A8" s="0" t="s">
        <v>155</v>
      </c>
      <c r="B8" s="0" t="s">
        <v>226</v>
      </c>
      <c r="C8" s="0" t="n">
        <v>1</v>
      </c>
    </row>
    <row r="9" customFormat="false" ht="15" hidden="false" customHeight="false" outlineLevel="0" collapsed="false">
      <c r="A9" s="0" t="s">
        <v>155</v>
      </c>
      <c r="B9" s="0" t="s">
        <v>227</v>
      </c>
      <c r="C9" s="0" t="n">
        <v>1</v>
      </c>
    </row>
    <row r="10" customFormat="false" ht="15" hidden="false" customHeight="false" outlineLevel="0" collapsed="false">
      <c r="A10" s="0" t="s">
        <v>155</v>
      </c>
      <c r="B10" s="0" t="s">
        <v>228</v>
      </c>
      <c r="C10" s="0" t="n">
        <v>1</v>
      </c>
    </row>
    <row r="11" customFormat="false" ht="15" hidden="false" customHeight="false" outlineLevel="0" collapsed="false">
      <c r="A11" s="0" t="s">
        <v>155</v>
      </c>
      <c r="B11" s="0" t="s">
        <v>229</v>
      </c>
      <c r="C11" s="0" t="n">
        <v>1</v>
      </c>
    </row>
    <row r="12" customFormat="false" ht="15" hidden="false" customHeight="false" outlineLevel="0" collapsed="false">
      <c r="A12" s="0" t="s">
        <v>155</v>
      </c>
      <c r="B12" s="0" t="s">
        <v>230</v>
      </c>
      <c r="C12" s="0" t="n">
        <v>1</v>
      </c>
    </row>
    <row r="13" customFormat="false" ht="15" hidden="false" customHeight="false" outlineLevel="0" collapsed="false">
      <c r="A13" s="0" t="s">
        <v>155</v>
      </c>
      <c r="B13" s="0" t="s">
        <v>231</v>
      </c>
      <c r="C13" s="0" t="n">
        <v>1</v>
      </c>
    </row>
    <row r="14" customFormat="false" ht="15" hidden="false" customHeight="false" outlineLevel="0" collapsed="false">
      <c r="A14" s="0" t="s">
        <v>155</v>
      </c>
      <c r="B14" s="0" t="s">
        <v>232</v>
      </c>
      <c r="C14" s="0" t="n">
        <v>1</v>
      </c>
    </row>
    <row r="15" customFormat="false" ht="15" hidden="false" customHeight="false" outlineLevel="0" collapsed="false">
      <c r="A15" s="0" t="s">
        <v>155</v>
      </c>
      <c r="B15" s="0" t="s">
        <v>233</v>
      </c>
      <c r="C15" s="0" t="n">
        <v>1</v>
      </c>
    </row>
    <row r="16" customFormat="false" ht="15" hidden="false" customHeight="false" outlineLevel="0" collapsed="false">
      <c r="A16" s="0" t="s">
        <v>155</v>
      </c>
      <c r="B16" s="0" t="s">
        <v>234</v>
      </c>
      <c r="C16" s="0" t="n">
        <v>1</v>
      </c>
    </row>
    <row r="17" customFormat="false" ht="15" hidden="false" customHeight="false" outlineLevel="0" collapsed="false">
      <c r="A17" s="0" t="s">
        <v>155</v>
      </c>
      <c r="B17" s="0" t="s">
        <v>235</v>
      </c>
      <c r="C17" s="0" t="n">
        <v>1</v>
      </c>
    </row>
    <row r="18" customFormat="false" ht="15" hidden="false" customHeight="false" outlineLevel="0" collapsed="false">
      <c r="A18" s="0" t="s">
        <v>155</v>
      </c>
      <c r="B18" s="0" t="s">
        <v>236</v>
      </c>
      <c r="C18" s="0" t="n">
        <v>1</v>
      </c>
    </row>
    <row r="19" customFormat="false" ht="15" hidden="false" customHeight="false" outlineLevel="0" collapsed="false">
      <c r="A19" s="0" t="s">
        <v>155</v>
      </c>
      <c r="B19" s="0" t="s">
        <v>237</v>
      </c>
      <c r="C19" s="0" t="n">
        <v>1</v>
      </c>
    </row>
    <row r="20" customFormat="false" ht="15" hidden="false" customHeight="false" outlineLevel="0" collapsed="false">
      <c r="A20" s="0" t="s">
        <v>155</v>
      </c>
      <c r="B20" s="0" t="s">
        <v>238</v>
      </c>
      <c r="C20" s="0" t="n">
        <v>1</v>
      </c>
    </row>
    <row r="21" customFormat="false" ht="15" hidden="false" customHeight="false" outlineLevel="0" collapsed="false">
      <c r="A21" s="0" t="s">
        <v>155</v>
      </c>
      <c r="B21" s="0" t="s">
        <v>239</v>
      </c>
      <c r="C21" s="0" t="n">
        <v>1</v>
      </c>
    </row>
    <row r="22" customFormat="false" ht="15" hidden="false" customHeight="false" outlineLevel="0" collapsed="false">
      <c r="A22" s="0" t="s">
        <v>155</v>
      </c>
      <c r="B22" s="0" t="s">
        <v>240</v>
      </c>
      <c r="C22" s="0" t="n">
        <v>1</v>
      </c>
    </row>
    <row r="23" customFormat="false" ht="15" hidden="false" customHeight="false" outlineLevel="0" collapsed="false">
      <c r="A23" s="0" t="s">
        <v>155</v>
      </c>
      <c r="B23" s="0" t="s">
        <v>241</v>
      </c>
      <c r="C23" s="0" t="n">
        <v>1</v>
      </c>
    </row>
    <row r="24" customFormat="false" ht="15" hidden="false" customHeight="false" outlineLevel="0" collapsed="false">
      <c r="A24" s="0" t="s">
        <v>155</v>
      </c>
      <c r="B24" s="0" t="s">
        <v>242</v>
      </c>
      <c r="C24" s="0" t="n">
        <v>1</v>
      </c>
    </row>
    <row r="25" customFormat="false" ht="15" hidden="false" customHeight="false" outlineLevel="0" collapsed="false">
      <c r="A25" s="0" t="s">
        <v>155</v>
      </c>
      <c r="B25" s="0" t="s">
        <v>243</v>
      </c>
      <c r="C25" s="0" t="n">
        <v>1</v>
      </c>
    </row>
    <row r="26" customFormat="false" ht="15" hidden="false" customHeight="false" outlineLevel="0" collapsed="false">
      <c r="A26" s="0" t="s">
        <v>155</v>
      </c>
      <c r="B26" s="0" t="s">
        <v>244</v>
      </c>
      <c r="C26" s="0" t="n">
        <v>1</v>
      </c>
    </row>
    <row r="27" customFormat="false" ht="15" hidden="false" customHeight="false" outlineLevel="0" collapsed="false">
      <c r="A27" s="0" t="s">
        <v>155</v>
      </c>
      <c r="B27" s="0" t="s">
        <v>245</v>
      </c>
      <c r="C27" s="0" t="n">
        <v>1</v>
      </c>
    </row>
    <row r="28" customFormat="false" ht="15" hidden="false" customHeight="false" outlineLevel="0" collapsed="false">
      <c r="A28" s="0" t="s">
        <v>155</v>
      </c>
      <c r="B28" s="0" t="s">
        <v>246</v>
      </c>
      <c r="C28" s="0" t="n">
        <v>1</v>
      </c>
    </row>
    <row r="29" customFormat="false" ht="15" hidden="false" customHeight="false" outlineLevel="0" collapsed="false">
      <c r="A29" s="0" t="s">
        <v>155</v>
      </c>
      <c r="B29" s="0" t="s">
        <v>247</v>
      </c>
      <c r="C29" s="0" t="n">
        <v>1</v>
      </c>
    </row>
    <row r="30" customFormat="false" ht="15" hidden="false" customHeight="false" outlineLevel="0" collapsed="false">
      <c r="A30" s="0" t="s">
        <v>155</v>
      </c>
      <c r="B30" s="0" t="s">
        <v>248</v>
      </c>
      <c r="C30" s="0" t="n">
        <v>1</v>
      </c>
    </row>
    <row r="31" customFormat="false" ht="15" hidden="false" customHeight="false" outlineLevel="0" collapsed="false">
      <c r="A31" s="0" t="s">
        <v>155</v>
      </c>
      <c r="B31" s="0" t="s">
        <v>249</v>
      </c>
      <c r="C31" s="0" t="n">
        <v>1</v>
      </c>
    </row>
    <row r="32" customFormat="false" ht="15" hidden="false" customHeight="false" outlineLevel="0" collapsed="false">
      <c r="A32" s="0" t="s">
        <v>155</v>
      </c>
      <c r="B32" s="0" t="s">
        <v>250</v>
      </c>
      <c r="C32" s="0" t="n">
        <v>1</v>
      </c>
    </row>
    <row r="33" customFormat="false" ht="15" hidden="false" customHeight="false" outlineLevel="0" collapsed="false">
      <c r="A33" s="0" t="s">
        <v>155</v>
      </c>
      <c r="B33" s="0" t="s">
        <v>251</v>
      </c>
      <c r="C33" s="0" t="n">
        <v>1</v>
      </c>
    </row>
    <row r="34" customFormat="false" ht="15" hidden="false" customHeight="false" outlineLevel="0" collapsed="false">
      <c r="A34" s="0" t="s">
        <v>155</v>
      </c>
      <c r="B34" s="0" t="s">
        <v>252</v>
      </c>
      <c r="C34" s="0" t="n">
        <v>1</v>
      </c>
    </row>
    <row r="35" customFormat="false" ht="15" hidden="false" customHeight="false" outlineLevel="0" collapsed="false">
      <c r="A35" s="0" t="s">
        <v>155</v>
      </c>
      <c r="B35" s="0" t="s">
        <v>253</v>
      </c>
      <c r="C35" s="0" t="n">
        <v>1</v>
      </c>
    </row>
    <row r="36" customFormat="false" ht="15" hidden="false" customHeight="false" outlineLevel="0" collapsed="false">
      <c r="A36" s="0" t="s">
        <v>155</v>
      </c>
      <c r="B36" s="0" t="s">
        <v>254</v>
      </c>
      <c r="C36" s="0" t="n">
        <v>1</v>
      </c>
    </row>
    <row r="37" customFormat="false" ht="15" hidden="false" customHeight="false" outlineLevel="0" collapsed="false">
      <c r="A37" s="0" t="s">
        <v>155</v>
      </c>
      <c r="B37" s="0" t="s">
        <v>255</v>
      </c>
      <c r="C37" s="0" t="n">
        <v>1</v>
      </c>
    </row>
    <row r="38" customFormat="false" ht="15" hidden="false" customHeight="false" outlineLevel="0" collapsed="false">
      <c r="A38" s="0" t="s">
        <v>155</v>
      </c>
      <c r="B38" s="0" t="s">
        <v>256</v>
      </c>
      <c r="C38" s="0" t="n">
        <v>1</v>
      </c>
    </row>
    <row r="39" customFormat="false" ht="15" hidden="false" customHeight="false" outlineLevel="0" collapsed="false">
      <c r="A39" s="0" t="s">
        <v>155</v>
      </c>
      <c r="B39" s="0" t="s">
        <v>257</v>
      </c>
      <c r="C39" s="0" t="n">
        <v>1</v>
      </c>
    </row>
    <row r="40" customFormat="false" ht="15" hidden="false" customHeight="false" outlineLevel="0" collapsed="false">
      <c r="A40" s="0" t="s">
        <v>155</v>
      </c>
      <c r="B40" s="0" t="s">
        <v>258</v>
      </c>
      <c r="C40" s="0" t="n">
        <v>1</v>
      </c>
    </row>
    <row r="41" customFormat="false" ht="15" hidden="false" customHeight="false" outlineLevel="0" collapsed="false">
      <c r="A41" s="0" t="s">
        <v>155</v>
      </c>
      <c r="B41" s="0" t="s">
        <v>259</v>
      </c>
      <c r="C41" s="0" t="n">
        <v>1</v>
      </c>
    </row>
    <row r="42" customFormat="false" ht="15" hidden="false" customHeight="false" outlineLevel="0" collapsed="false">
      <c r="A42" s="0" t="s">
        <v>155</v>
      </c>
      <c r="B42" s="0" t="s">
        <v>260</v>
      </c>
      <c r="C42" s="0" t="n">
        <v>1</v>
      </c>
    </row>
    <row r="43" customFormat="false" ht="15" hidden="false" customHeight="false" outlineLevel="0" collapsed="false">
      <c r="A43" s="0" t="s">
        <v>155</v>
      </c>
      <c r="B43" s="0" t="s">
        <v>261</v>
      </c>
      <c r="C43" s="0" t="n">
        <v>1</v>
      </c>
    </row>
    <row r="44" customFormat="false" ht="15" hidden="false" customHeight="false" outlineLevel="0" collapsed="false">
      <c r="A44" s="0" t="s">
        <v>155</v>
      </c>
      <c r="B44" s="0" t="s">
        <v>262</v>
      </c>
      <c r="C44" s="0" t="n">
        <v>1</v>
      </c>
    </row>
    <row r="45" customFormat="false" ht="15" hidden="false" customHeight="false" outlineLevel="0" collapsed="false">
      <c r="A45" s="0" t="s">
        <v>155</v>
      </c>
      <c r="B45" s="0" t="s">
        <v>263</v>
      </c>
      <c r="C45" s="0" t="n">
        <v>1</v>
      </c>
    </row>
    <row r="46" customFormat="false" ht="15" hidden="false" customHeight="false" outlineLevel="0" collapsed="false">
      <c r="A46" s="0" t="s">
        <v>155</v>
      </c>
      <c r="B46" s="0" t="s">
        <v>264</v>
      </c>
      <c r="C46" s="0" t="n">
        <v>1</v>
      </c>
    </row>
    <row r="47" customFormat="false" ht="15" hidden="false" customHeight="false" outlineLevel="0" collapsed="false">
      <c r="A47" s="0" t="s">
        <v>155</v>
      </c>
      <c r="B47" s="0" t="s">
        <v>265</v>
      </c>
      <c r="C47" s="0" t="n">
        <v>1</v>
      </c>
    </row>
    <row r="48" customFormat="false" ht="15" hidden="false" customHeight="false" outlineLevel="0" collapsed="false">
      <c r="A48" s="0" t="s">
        <v>155</v>
      </c>
      <c r="B48" s="0" t="s">
        <v>266</v>
      </c>
      <c r="C48" s="0" t="n">
        <v>1</v>
      </c>
    </row>
    <row r="49" customFormat="false" ht="15" hidden="false" customHeight="false" outlineLevel="0" collapsed="false">
      <c r="A49" s="0" t="s">
        <v>155</v>
      </c>
      <c r="B49" s="0" t="s">
        <v>267</v>
      </c>
      <c r="C49" s="0" t="n">
        <v>1</v>
      </c>
    </row>
    <row r="50" customFormat="false" ht="15" hidden="false" customHeight="false" outlineLevel="0" collapsed="false">
      <c r="A50" s="0" t="s">
        <v>155</v>
      </c>
      <c r="B50" s="0" t="s">
        <v>268</v>
      </c>
      <c r="C50" s="0" t="n">
        <v>1</v>
      </c>
    </row>
    <row r="51" customFormat="false" ht="15" hidden="false" customHeight="false" outlineLevel="0" collapsed="false">
      <c r="A51" s="0" t="s">
        <v>155</v>
      </c>
      <c r="B51" s="0" t="s">
        <v>269</v>
      </c>
      <c r="C51" s="0" t="n">
        <v>1</v>
      </c>
    </row>
    <row r="52" customFormat="false" ht="15" hidden="false" customHeight="false" outlineLevel="0" collapsed="false">
      <c r="A52" s="0" t="s">
        <v>155</v>
      </c>
      <c r="B52" s="0" t="s">
        <v>270</v>
      </c>
      <c r="C52" s="0" t="n">
        <v>1</v>
      </c>
    </row>
    <row r="53" customFormat="false" ht="15" hidden="false" customHeight="false" outlineLevel="0" collapsed="false">
      <c r="A53" s="0" t="s">
        <v>155</v>
      </c>
      <c r="B53" s="0" t="s">
        <v>271</v>
      </c>
      <c r="C53" s="0" t="n">
        <v>1</v>
      </c>
    </row>
    <row r="54" customFormat="false" ht="15" hidden="false" customHeight="false" outlineLevel="0" collapsed="false">
      <c r="A54" s="0" t="s">
        <v>155</v>
      </c>
      <c r="B54" s="0" t="s">
        <v>272</v>
      </c>
      <c r="C54" s="0" t="n">
        <v>1</v>
      </c>
    </row>
    <row r="55" customFormat="false" ht="15" hidden="false" customHeight="false" outlineLevel="0" collapsed="false">
      <c r="A55" s="0" t="s">
        <v>155</v>
      </c>
      <c r="B55" s="0" t="s">
        <v>273</v>
      </c>
      <c r="C55" s="0" t="n">
        <v>1</v>
      </c>
    </row>
    <row r="56" customFormat="false" ht="15" hidden="false" customHeight="false" outlineLevel="0" collapsed="false">
      <c r="A56" s="0" t="s">
        <v>155</v>
      </c>
      <c r="B56" s="0" t="s">
        <v>274</v>
      </c>
      <c r="C56" s="0" t="n">
        <v>1</v>
      </c>
    </row>
    <row r="57" customFormat="false" ht="15" hidden="false" customHeight="false" outlineLevel="0" collapsed="false">
      <c r="A57" s="0" t="s">
        <v>155</v>
      </c>
      <c r="B57" s="0" t="s">
        <v>275</v>
      </c>
      <c r="C57" s="0" t="n">
        <v>1</v>
      </c>
    </row>
    <row r="58" customFormat="false" ht="15" hidden="false" customHeight="false" outlineLevel="0" collapsed="false">
      <c r="A58" s="0" t="s">
        <v>155</v>
      </c>
      <c r="B58" s="0" t="s">
        <v>276</v>
      </c>
      <c r="C58" s="0" t="n">
        <v>1</v>
      </c>
    </row>
    <row r="59" customFormat="false" ht="15" hidden="false" customHeight="false" outlineLevel="0" collapsed="false">
      <c r="A59" s="0" t="s">
        <v>155</v>
      </c>
      <c r="B59" s="0" t="s">
        <v>277</v>
      </c>
      <c r="C59" s="0" t="n">
        <v>1</v>
      </c>
    </row>
    <row r="60" customFormat="false" ht="15" hidden="false" customHeight="false" outlineLevel="0" collapsed="false">
      <c r="A60" s="0" t="s">
        <v>155</v>
      </c>
      <c r="B60" s="0" t="s">
        <v>278</v>
      </c>
      <c r="C60" s="0" t="n">
        <v>1</v>
      </c>
    </row>
    <row r="61" customFormat="false" ht="15" hidden="false" customHeight="false" outlineLevel="0" collapsed="false">
      <c r="A61" s="0" t="s">
        <v>155</v>
      </c>
      <c r="B61" s="0" t="s">
        <v>279</v>
      </c>
      <c r="C61" s="0" t="n">
        <v>1</v>
      </c>
    </row>
    <row r="62" customFormat="false" ht="15" hidden="false" customHeight="false" outlineLevel="0" collapsed="false">
      <c r="A62" s="0" t="s">
        <v>155</v>
      </c>
      <c r="B62" s="0" t="s">
        <v>280</v>
      </c>
      <c r="C62" s="0" t="n">
        <v>1</v>
      </c>
    </row>
    <row r="63" customFormat="false" ht="15" hidden="false" customHeight="false" outlineLevel="0" collapsed="false">
      <c r="A63" s="0" t="s">
        <v>155</v>
      </c>
      <c r="B63" s="0" t="s">
        <v>281</v>
      </c>
      <c r="C63" s="0" t="n">
        <v>1</v>
      </c>
    </row>
    <row r="64" customFormat="false" ht="15" hidden="false" customHeight="false" outlineLevel="0" collapsed="false">
      <c r="A64" s="0" t="s">
        <v>155</v>
      </c>
      <c r="B64" s="0" t="s">
        <v>282</v>
      </c>
      <c r="C64" s="0" t="n">
        <v>1</v>
      </c>
    </row>
    <row r="65" customFormat="false" ht="15" hidden="false" customHeight="false" outlineLevel="0" collapsed="false">
      <c r="A65" s="0" t="s">
        <v>155</v>
      </c>
      <c r="B65" s="0" t="s">
        <v>283</v>
      </c>
      <c r="C65" s="0" t="n">
        <v>1</v>
      </c>
    </row>
    <row r="66" customFormat="false" ht="15" hidden="false" customHeight="false" outlineLevel="0" collapsed="false">
      <c r="A66" s="0" t="s">
        <v>155</v>
      </c>
      <c r="B66" s="0" t="s">
        <v>284</v>
      </c>
      <c r="C66" s="0" t="n">
        <v>1</v>
      </c>
    </row>
    <row r="67" customFormat="false" ht="15" hidden="false" customHeight="false" outlineLevel="0" collapsed="false">
      <c r="A67" s="0" t="s">
        <v>155</v>
      </c>
      <c r="B67" s="0" t="s">
        <v>285</v>
      </c>
      <c r="C67" s="0" t="n">
        <v>1</v>
      </c>
    </row>
    <row r="68" customFormat="false" ht="15" hidden="false" customHeight="false" outlineLevel="0" collapsed="false">
      <c r="A68" s="0" t="s">
        <v>155</v>
      </c>
      <c r="B68" s="0" t="s">
        <v>286</v>
      </c>
      <c r="C68" s="0" t="n">
        <v>1</v>
      </c>
    </row>
    <row r="69" customFormat="false" ht="15" hidden="false" customHeight="false" outlineLevel="0" collapsed="false">
      <c r="A69" s="0" t="s">
        <v>155</v>
      </c>
      <c r="B69" s="0" t="s">
        <v>287</v>
      </c>
      <c r="C69" s="0" t="n">
        <v>1</v>
      </c>
    </row>
    <row r="70" customFormat="false" ht="15" hidden="false" customHeight="false" outlineLevel="0" collapsed="false">
      <c r="A70" s="0" t="s">
        <v>155</v>
      </c>
      <c r="B70" s="0" t="s">
        <v>288</v>
      </c>
      <c r="C70" s="0" t="n">
        <v>1</v>
      </c>
    </row>
    <row r="71" customFormat="false" ht="15" hidden="false" customHeight="false" outlineLevel="0" collapsed="false">
      <c r="A71" s="0" t="s">
        <v>155</v>
      </c>
      <c r="B71" s="0" t="s">
        <v>289</v>
      </c>
      <c r="C71" s="0" t="n">
        <v>1</v>
      </c>
    </row>
    <row r="72" customFormat="false" ht="15" hidden="false" customHeight="false" outlineLevel="0" collapsed="false">
      <c r="A72" s="0" t="s">
        <v>155</v>
      </c>
      <c r="B72" s="0" t="s">
        <v>290</v>
      </c>
      <c r="C72" s="0" t="n">
        <v>1</v>
      </c>
    </row>
    <row r="73" customFormat="false" ht="15" hidden="false" customHeight="false" outlineLevel="0" collapsed="false">
      <c r="A73" s="0" t="s">
        <v>155</v>
      </c>
      <c r="B73" s="0" t="s">
        <v>291</v>
      </c>
      <c r="C73" s="0" t="n">
        <v>1</v>
      </c>
    </row>
    <row r="74" customFormat="false" ht="15" hidden="false" customHeight="false" outlineLevel="0" collapsed="false">
      <c r="A74" s="0" t="s">
        <v>155</v>
      </c>
      <c r="B74" s="0" t="s">
        <v>292</v>
      </c>
      <c r="C74" s="0" t="n">
        <v>1</v>
      </c>
    </row>
    <row r="75" customFormat="false" ht="15" hidden="false" customHeight="false" outlineLevel="0" collapsed="false">
      <c r="A75" s="0" t="s">
        <v>155</v>
      </c>
      <c r="B75" s="0" t="s">
        <v>293</v>
      </c>
      <c r="C75" s="0" t="n">
        <v>1</v>
      </c>
    </row>
    <row r="76" customFormat="false" ht="15" hidden="false" customHeight="false" outlineLevel="0" collapsed="false">
      <c r="A76" s="0" t="s">
        <v>155</v>
      </c>
      <c r="B76" s="0" t="s">
        <v>294</v>
      </c>
      <c r="C76" s="0" t="n">
        <v>1</v>
      </c>
    </row>
    <row r="77" customFormat="false" ht="15" hidden="false" customHeight="false" outlineLevel="0" collapsed="false">
      <c r="A77" s="0" t="s">
        <v>155</v>
      </c>
      <c r="B77" s="0" t="s">
        <v>295</v>
      </c>
      <c r="C77" s="0" t="n">
        <v>1</v>
      </c>
    </row>
    <row r="78" customFormat="false" ht="15" hidden="false" customHeight="false" outlineLevel="0" collapsed="false">
      <c r="A78" s="0" t="s">
        <v>155</v>
      </c>
      <c r="B78" s="0" t="s">
        <v>296</v>
      </c>
      <c r="C78" s="0" t="n">
        <v>1</v>
      </c>
    </row>
    <row r="79" customFormat="false" ht="15" hidden="false" customHeight="false" outlineLevel="0" collapsed="false">
      <c r="A79" s="0" t="s">
        <v>155</v>
      </c>
      <c r="B79" s="0" t="s">
        <v>297</v>
      </c>
      <c r="C79" s="0" t="n">
        <v>1</v>
      </c>
    </row>
    <row r="80" customFormat="false" ht="15" hidden="false" customHeight="false" outlineLevel="0" collapsed="false">
      <c r="A80" s="0" t="s">
        <v>155</v>
      </c>
      <c r="B80" s="0" t="s">
        <v>298</v>
      </c>
      <c r="C80" s="0" t="n">
        <v>1</v>
      </c>
    </row>
    <row r="81" customFormat="false" ht="15" hidden="false" customHeight="false" outlineLevel="0" collapsed="false">
      <c r="A81" s="0" t="s">
        <v>155</v>
      </c>
      <c r="B81" s="0" t="s">
        <v>299</v>
      </c>
      <c r="C81" s="0" t="n">
        <v>1</v>
      </c>
    </row>
    <row r="82" customFormat="false" ht="15" hidden="false" customHeight="false" outlineLevel="0" collapsed="false">
      <c r="A82" s="0" t="s">
        <v>155</v>
      </c>
      <c r="B82" s="0" t="s">
        <v>300</v>
      </c>
      <c r="C82" s="0" t="n">
        <v>1</v>
      </c>
    </row>
    <row r="83" customFormat="false" ht="15" hidden="false" customHeight="false" outlineLevel="0" collapsed="false">
      <c r="A83" s="0" t="s">
        <v>155</v>
      </c>
      <c r="B83" s="0" t="s">
        <v>301</v>
      </c>
      <c r="C83" s="0" t="n">
        <v>1</v>
      </c>
    </row>
    <row r="84" customFormat="false" ht="15" hidden="false" customHeight="false" outlineLevel="0" collapsed="false">
      <c r="A84" s="0" t="s">
        <v>155</v>
      </c>
      <c r="B84" s="0" t="s">
        <v>302</v>
      </c>
      <c r="C84" s="0" t="n">
        <v>1</v>
      </c>
    </row>
    <row r="85" customFormat="false" ht="15" hidden="false" customHeight="false" outlineLevel="0" collapsed="false">
      <c r="A85" s="0" t="s">
        <v>155</v>
      </c>
      <c r="B85" s="0" t="s">
        <v>303</v>
      </c>
      <c r="C85" s="0" t="n">
        <v>1</v>
      </c>
    </row>
    <row r="86" customFormat="false" ht="15" hidden="false" customHeight="false" outlineLevel="0" collapsed="false">
      <c r="A86" s="0" t="s">
        <v>155</v>
      </c>
      <c r="B86" s="0" t="s">
        <v>304</v>
      </c>
      <c r="C86" s="0" t="n">
        <v>1</v>
      </c>
    </row>
    <row r="87" customFormat="false" ht="15" hidden="false" customHeight="false" outlineLevel="0" collapsed="false">
      <c r="A87" s="0" t="s">
        <v>155</v>
      </c>
      <c r="B87" s="0" t="s">
        <v>305</v>
      </c>
      <c r="C87" s="0" t="n">
        <v>1</v>
      </c>
    </row>
    <row r="88" customFormat="false" ht="15" hidden="false" customHeight="false" outlineLevel="0" collapsed="false">
      <c r="A88" s="0" t="s">
        <v>155</v>
      </c>
      <c r="B88" s="0" t="s">
        <v>306</v>
      </c>
      <c r="C88" s="0" t="n">
        <v>1</v>
      </c>
    </row>
    <row r="89" customFormat="false" ht="15" hidden="false" customHeight="false" outlineLevel="0" collapsed="false">
      <c r="A89" s="0" t="s">
        <v>155</v>
      </c>
      <c r="B89" s="0" t="s">
        <v>307</v>
      </c>
      <c r="C89" s="0" t="n">
        <v>1</v>
      </c>
    </row>
    <row r="90" customFormat="false" ht="15" hidden="false" customHeight="false" outlineLevel="0" collapsed="false">
      <c r="A90" s="0" t="s">
        <v>156</v>
      </c>
      <c r="B90" s="0" t="s">
        <v>220</v>
      </c>
      <c r="C90" s="0" t="n">
        <v>1</v>
      </c>
    </row>
    <row r="91" customFormat="false" ht="15" hidden="false" customHeight="false" outlineLevel="0" collapsed="false">
      <c r="A91" s="0" t="s">
        <v>156</v>
      </c>
      <c r="B91" s="0" t="s">
        <v>308</v>
      </c>
      <c r="C91" s="0" t="n">
        <v>1</v>
      </c>
    </row>
    <row r="92" customFormat="false" ht="15" hidden="false" customHeight="false" outlineLevel="0" collapsed="false">
      <c r="A92" s="0" t="s">
        <v>156</v>
      </c>
      <c r="B92" s="0" t="s">
        <v>309</v>
      </c>
      <c r="C92" s="0" t="n">
        <v>1</v>
      </c>
    </row>
    <row r="93" customFormat="false" ht="15" hidden="false" customHeight="false" outlineLevel="0" collapsed="false">
      <c r="A93" s="0" t="s">
        <v>156</v>
      </c>
      <c r="B93" s="0" t="s">
        <v>310</v>
      </c>
      <c r="C93" s="0" t="n">
        <v>1</v>
      </c>
    </row>
    <row r="94" customFormat="false" ht="15" hidden="false" customHeight="false" outlineLevel="0" collapsed="false">
      <c r="A94" s="0" t="s">
        <v>156</v>
      </c>
      <c r="B94" s="0" t="s">
        <v>311</v>
      </c>
      <c r="C94" s="0" t="n">
        <v>1</v>
      </c>
    </row>
    <row r="95" customFormat="false" ht="15" hidden="false" customHeight="false" outlineLevel="0" collapsed="false">
      <c r="A95" s="0" t="s">
        <v>156</v>
      </c>
      <c r="B95" s="0" t="s">
        <v>312</v>
      </c>
      <c r="C95" s="0" t="n">
        <v>1</v>
      </c>
    </row>
    <row r="96" customFormat="false" ht="15" hidden="false" customHeight="false" outlineLevel="0" collapsed="false">
      <c r="A96" s="0" t="s">
        <v>156</v>
      </c>
      <c r="B96" s="0" t="s">
        <v>225</v>
      </c>
      <c r="C96" s="0" t="n">
        <v>1</v>
      </c>
    </row>
    <row r="97" customFormat="false" ht="15" hidden="false" customHeight="false" outlineLevel="0" collapsed="false">
      <c r="A97" s="0" t="s">
        <v>156</v>
      </c>
      <c r="B97" s="0" t="s">
        <v>313</v>
      </c>
      <c r="C97" s="0" t="n">
        <v>1</v>
      </c>
    </row>
    <row r="98" customFormat="false" ht="15" hidden="false" customHeight="false" outlineLevel="0" collapsed="false">
      <c r="A98" s="0" t="s">
        <v>156</v>
      </c>
      <c r="B98" s="0" t="s">
        <v>227</v>
      </c>
      <c r="C98" s="0" t="n">
        <v>1</v>
      </c>
    </row>
    <row r="99" customFormat="false" ht="15" hidden="false" customHeight="false" outlineLevel="0" collapsed="false">
      <c r="A99" s="0" t="s">
        <v>156</v>
      </c>
      <c r="B99" s="0" t="s">
        <v>314</v>
      </c>
      <c r="C99" s="0" t="n">
        <v>1</v>
      </c>
    </row>
    <row r="100" customFormat="false" ht="15" hidden="false" customHeight="false" outlineLevel="0" collapsed="false">
      <c r="A100" s="0" t="s">
        <v>156</v>
      </c>
      <c r="B100" s="0" t="s">
        <v>315</v>
      </c>
      <c r="C100" s="0" t="n">
        <v>1</v>
      </c>
    </row>
    <row r="101" customFormat="false" ht="15" hidden="false" customHeight="false" outlineLevel="0" collapsed="false">
      <c r="A101" s="0" t="s">
        <v>156</v>
      </c>
      <c r="B101" s="0" t="s">
        <v>316</v>
      </c>
      <c r="C101" s="0" t="n">
        <v>1</v>
      </c>
    </row>
    <row r="102" customFormat="false" ht="15" hidden="false" customHeight="false" outlineLevel="0" collapsed="false">
      <c r="A102" s="0" t="s">
        <v>156</v>
      </c>
      <c r="B102" s="0" t="s">
        <v>317</v>
      </c>
      <c r="C102" s="0" t="n">
        <v>1</v>
      </c>
    </row>
    <row r="103" customFormat="false" ht="15" hidden="false" customHeight="false" outlineLevel="0" collapsed="false">
      <c r="A103" s="0" t="s">
        <v>156</v>
      </c>
      <c r="B103" s="0" t="s">
        <v>318</v>
      </c>
      <c r="C103" s="0" t="n">
        <v>1</v>
      </c>
    </row>
    <row r="104" customFormat="false" ht="15" hidden="false" customHeight="false" outlineLevel="0" collapsed="false">
      <c r="A104" s="0" t="s">
        <v>156</v>
      </c>
      <c r="B104" s="0" t="s">
        <v>319</v>
      </c>
      <c r="C104" s="0" t="n">
        <v>1</v>
      </c>
    </row>
    <row r="105" customFormat="false" ht="15" hidden="false" customHeight="false" outlineLevel="0" collapsed="false">
      <c r="A105" s="0" t="s">
        <v>156</v>
      </c>
      <c r="B105" s="0" t="s">
        <v>233</v>
      </c>
      <c r="C105" s="0" t="n">
        <v>1</v>
      </c>
    </row>
    <row r="106" customFormat="false" ht="15" hidden="false" customHeight="false" outlineLevel="0" collapsed="false">
      <c r="A106" s="0" t="s">
        <v>156</v>
      </c>
      <c r="B106" s="0" t="s">
        <v>320</v>
      </c>
      <c r="C106" s="0" t="n">
        <v>1</v>
      </c>
    </row>
    <row r="107" customFormat="false" ht="15" hidden="false" customHeight="false" outlineLevel="0" collapsed="false">
      <c r="A107" s="0" t="s">
        <v>156</v>
      </c>
      <c r="B107" s="0" t="s">
        <v>235</v>
      </c>
      <c r="C107" s="0" t="n">
        <v>1</v>
      </c>
    </row>
    <row r="108" customFormat="false" ht="15" hidden="false" customHeight="false" outlineLevel="0" collapsed="false">
      <c r="A108" s="0" t="s">
        <v>156</v>
      </c>
      <c r="B108" s="0" t="s">
        <v>321</v>
      </c>
      <c r="C108" s="0" t="n">
        <v>1</v>
      </c>
    </row>
    <row r="109" customFormat="false" ht="15" hidden="false" customHeight="false" outlineLevel="0" collapsed="false">
      <c r="A109" s="0" t="s">
        <v>156</v>
      </c>
      <c r="B109" s="0" t="s">
        <v>237</v>
      </c>
      <c r="C109" s="0" t="n">
        <v>1</v>
      </c>
    </row>
    <row r="110" customFormat="false" ht="15" hidden="false" customHeight="false" outlineLevel="0" collapsed="false">
      <c r="A110" s="0" t="s">
        <v>156</v>
      </c>
      <c r="B110" s="0" t="s">
        <v>322</v>
      </c>
      <c r="C110" s="0" t="n">
        <v>1</v>
      </c>
    </row>
    <row r="111" customFormat="false" ht="15" hidden="false" customHeight="false" outlineLevel="0" collapsed="false">
      <c r="A111" s="0" t="s">
        <v>156</v>
      </c>
      <c r="B111" s="0" t="s">
        <v>323</v>
      </c>
      <c r="C111" s="0" t="n">
        <v>1</v>
      </c>
    </row>
    <row r="112" customFormat="false" ht="15" hidden="false" customHeight="false" outlineLevel="0" collapsed="false">
      <c r="A112" s="0" t="s">
        <v>156</v>
      </c>
      <c r="B112" s="0" t="s">
        <v>324</v>
      </c>
      <c r="C112" s="0" t="n">
        <v>1</v>
      </c>
    </row>
    <row r="113" customFormat="false" ht="15" hidden="false" customHeight="false" outlineLevel="0" collapsed="false">
      <c r="A113" s="0" t="s">
        <v>156</v>
      </c>
      <c r="B113" s="0" t="s">
        <v>325</v>
      </c>
      <c r="C113" s="0" t="n">
        <v>1</v>
      </c>
    </row>
    <row r="114" customFormat="false" ht="15" hidden="false" customHeight="false" outlineLevel="0" collapsed="false">
      <c r="A114" s="0" t="s">
        <v>156</v>
      </c>
      <c r="B114" s="0" t="s">
        <v>326</v>
      </c>
      <c r="C114" s="0" t="n">
        <v>1</v>
      </c>
    </row>
    <row r="115" customFormat="false" ht="15" hidden="false" customHeight="false" outlineLevel="0" collapsed="false">
      <c r="A115" s="0" t="s">
        <v>156</v>
      </c>
      <c r="B115" s="0" t="s">
        <v>327</v>
      </c>
      <c r="C115" s="0" t="n">
        <v>1</v>
      </c>
    </row>
    <row r="116" customFormat="false" ht="15" hidden="false" customHeight="false" outlineLevel="0" collapsed="false">
      <c r="A116" s="0" t="s">
        <v>156</v>
      </c>
      <c r="B116" s="0" t="s">
        <v>328</v>
      </c>
      <c r="C116" s="0" t="n">
        <v>1</v>
      </c>
    </row>
    <row r="117" customFormat="false" ht="15" hidden="false" customHeight="false" outlineLevel="0" collapsed="false">
      <c r="A117" s="0" t="s">
        <v>156</v>
      </c>
      <c r="B117" s="0" t="s">
        <v>329</v>
      </c>
      <c r="C117" s="0" t="n">
        <v>1</v>
      </c>
    </row>
    <row r="118" customFormat="false" ht="15" hidden="false" customHeight="false" outlineLevel="0" collapsed="false">
      <c r="A118" s="0" t="s">
        <v>156</v>
      </c>
      <c r="B118" s="0" t="s">
        <v>330</v>
      </c>
      <c r="C118" s="0" t="n">
        <v>1</v>
      </c>
    </row>
    <row r="119" customFormat="false" ht="15" hidden="false" customHeight="false" outlineLevel="0" collapsed="false">
      <c r="A119" s="0" t="s">
        <v>156</v>
      </c>
      <c r="B119" s="0" t="s">
        <v>331</v>
      </c>
      <c r="C119" s="0" t="n">
        <v>1</v>
      </c>
    </row>
    <row r="120" customFormat="false" ht="15" hidden="false" customHeight="false" outlineLevel="0" collapsed="false">
      <c r="A120" s="0" t="s">
        <v>156</v>
      </c>
      <c r="B120" s="0" t="s">
        <v>332</v>
      </c>
      <c r="C120" s="0" t="n">
        <v>1</v>
      </c>
    </row>
    <row r="121" customFormat="false" ht="15" hidden="false" customHeight="false" outlineLevel="0" collapsed="false">
      <c r="A121" s="0" t="s">
        <v>156</v>
      </c>
      <c r="B121" s="0" t="s">
        <v>333</v>
      </c>
      <c r="C121" s="0" t="n">
        <v>1</v>
      </c>
    </row>
    <row r="122" customFormat="false" ht="15" hidden="false" customHeight="false" outlineLevel="0" collapsed="false">
      <c r="A122" s="0" t="s">
        <v>156</v>
      </c>
      <c r="B122" s="0" t="s">
        <v>334</v>
      </c>
      <c r="C122" s="0" t="n">
        <v>1</v>
      </c>
    </row>
    <row r="123" customFormat="false" ht="15" hidden="false" customHeight="false" outlineLevel="0" collapsed="false">
      <c r="A123" s="0" t="s">
        <v>156</v>
      </c>
      <c r="B123" s="0" t="s">
        <v>335</v>
      </c>
      <c r="C123" s="0" t="n">
        <v>1</v>
      </c>
    </row>
    <row r="124" customFormat="false" ht="15" hidden="false" customHeight="false" outlineLevel="0" collapsed="false">
      <c r="A124" s="0" t="s">
        <v>156</v>
      </c>
      <c r="B124" s="0" t="s">
        <v>336</v>
      </c>
      <c r="C124" s="0" t="n">
        <v>1</v>
      </c>
    </row>
    <row r="125" customFormat="false" ht="15" hidden="false" customHeight="false" outlineLevel="0" collapsed="false">
      <c r="A125" s="0" t="s">
        <v>156</v>
      </c>
      <c r="B125" s="0" t="s">
        <v>337</v>
      </c>
      <c r="C125" s="0" t="n">
        <v>1</v>
      </c>
    </row>
    <row r="126" customFormat="false" ht="15" hidden="false" customHeight="false" outlineLevel="0" collapsed="false">
      <c r="A126" s="0" t="s">
        <v>156</v>
      </c>
      <c r="B126" s="0" t="s">
        <v>338</v>
      </c>
      <c r="C126" s="0" t="n">
        <v>1</v>
      </c>
    </row>
    <row r="127" customFormat="false" ht="15" hidden="false" customHeight="false" outlineLevel="0" collapsed="false">
      <c r="A127" s="0" t="s">
        <v>156</v>
      </c>
      <c r="B127" s="0" t="s">
        <v>255</v>
      </c>
      <c r="C127" s="0" t="n">
        <v>1</v>
      </c>
    </row>
    <row r="128" customFormat="false" ht="15" hidden="false" customHeight="false" outlineLevel="0" collapsed="false">
      <c r="A128" s="0" t="s">
        <v>156</v>
      </c>
      <c r="B128" s="0" t="s">
        <v>339</v>
      </c>
      <c r="C128" s="0" t="n">
        <v>1</v>
      </c>
    </row>
    <row r="129" customFormat="false" ht="15" hidden="false" customHeight="false" outlineLevel="0" collapsed="false">
      <c r="A129" s="0" t="s">
        <v>156</v>
      </c>
      <c r="B129" s="0" t="s">
        <v>340</v>
      </c>
      <c r="C129" s="0" t="n">
        <v>1</v>
      </c>
    </row>
    <row r="130" customFormat="false" ht="15" hidden="false" customHeight="false" outlineLevel="0" collapsed="false">
      <c r="A130" s="0" t="s">
        <v>156</v>
      </c>
      <c r="B130" s="0" t="s">
        <v>341</v>
      </c>
      <c r="C130" s="0" t="n">
        <v>1</v>
      </c>
    </row>
    <row r="131" customFormat="false" ht="15" hidden="false" customHeight="false" outlineLevel="0" collapsed="false">
      <c r="A131" s="0" t="s">
        <v>156</v>
      </c>
      <c r="B131" s="0" t="s">
        <v>342</v>
      </c>
      <c r="C131" s="0" t="n">
        <v>1</v>
      </c>
    </row>
    <row r="132" customFormat="false" ht="15" hidden="false" customHeight="false" outlineLevel="0" collapsed="false">
      <c r="A132" s="0" t="s">
        <v>156</v>
      </c>
      <c r="B132" s="0" t="s">
        <v>343</v>
      </c>
      <c r="C132" s="0" t="n">
        <v>1</v>
      </c>
    </row>
    <row r="133" customFormat="false" ht="15" hidden="false" customHeight="false" outlineLevel="0" collapsed="false">
      <c r="A133" s="0" t="s">
        <v>156</v>
      </c>
      <c r="B133" s="0" t="s">
        <v>344</v>
      </c>
      <c r="C133" s="0" t="n">
        <v>1</v>
      </c>
    </row>
    <row r="134" customFormat="false" ht="15" hidden="false" customHeight="false" outlineLevel="0" collapsed="false">
      <c r="A134" s="0" t="s">
        <v>156</v>
      </c>
      <c r="B134" s="0" t="s">
        <v>263</v>
      </c>
      <c r="C134" s="0" t="n">
        <v>1</v>
      </c>
    </row>
    <row r="135" customFormat="false" ht="15" hidden="false" customHeight="false" outlineLevel="0" collapsed="false">
      <c r="A135" s="0" t="s">
        <v>156</v>
      </c>
      <c r="B135" s="0" t="s">
        <v>345</v>
      </c>
      <c r="C135" s="0" t="n">
        <v>1</v>
      </c>
    </row>
    <row r="136" customFormat="false" ht="15" hidden="false" customHeight="false" outlineLevel="0" collapsed="false">
      <c r="A136" s="0" t="s">
        <v>156</v>
      </c>
      <c r="B136" s="0" t="s">
        <v>265</v>
      </c>
      <c r="C136" s="0" t="n">
        <v>1</v>
      </c>
    </row>
    <row r="137" customFormat="false" ht="15" hidden="false" customHeight="false" outlineLevel="0" collapsed="false">
      <c r="A137" s="0" t="s">
        <v>156</v>
      </c>
      <c r="B137" s="0" t="s">
        <v>346</v>
      </c>
      <c r="C137" s="0" t="n">
        <v>1</v>
      </c>
    </row>
    <row r="138" customFormat="false" ht="15" hidden="false" customHeight="false" outlineLevel="0" collapsed="false">
      <c r="A138" s="0" t="s">
        <v>156</v>
      </c>
      <c r="B138" s="0" t="s">
        <v>347</v>
      </c>
      <c r="C138" s="0" t="n">
        <v>1</v>
      </c>
    </row>
    <row r="139" customFormat="false" ht="15" hidden="false" customHeight="false" outlineLevel="0" collapsed="false">
      <c r="A139" s="0" t="s">
        <v>156</v>
      </c>
      <c r="B139" s="0" t="s">
        <v>267</v>
      </c>
      <c r="C139" s="0" t="n">
        <v>1</v>
      </c>
    </row>
    <row r="140" customFormat="false" ht="15" hidden="false" customHeight="false" outlineLevel="0" collapsed="false">
      <c r="A140" s="0" t="s">
        <v>156</v>
      </c>
      <c r="B140" s="0" t="s">
        <v>348</v>
      </c>
      <c r="C140" s="0" t="n">
        <v>1</v>
      </c>
    </row>
    <row r="141" customFormat="false" ht="15" hidden="false" customHeight="false" outlineLevel="0" collapsed="false">
      <c r="A141" s="0" t="s">
        <v>156</v>
      </c>
      <c r="B141" s="0" t="s">
        <v>269</v>
      </c>
      <c r="C141" s="0" t="n">
        <v>1</v>
      </c>
    </row>
    <row r="142" customFormat="false" ht="15" hidden="false" customHeight="false" outlineLevel="0" collapsed="false">
      <c r="A142" s="0" t="s">
        <v>156</v>
      </c>
      <c r="B142" s="0" t="s">
        <v>270</v>
      </c>
      <c r="C142" s="0" t="n">
        <v>1</v>
      </c>
    </row>
    <row r="143" customFormat="false" ht="15" hidden="false" customHeight="false" outlineLevel="0" collapsed="false">
      <c r="A143" s="0" t="s">
        <v>156</v>
      </c>
      <c r="B143" s="0" t="s">
        <v>271</v>
      </c>
      <c r="C143" s="0" t="n">
        <v>1</v>
      </c>
    </row>
    <row r="144" customFormat="false" ht="15" hidden="false" customHeight="false" outlineLevel="0" collapsed="false">
      <c r="A144" s="0" t="s">
        <v>156</v>
      </c>
      <c r="B144" s="0" t="s">
        <v>349</v>
      </c>
      <c r="C144" s="0" t="n">
        <v>1</v>
      </c>
    </row>
    <row r="145" customFormat="false" ht="15" hidden="false" customHeight="false" outlineLevel="0" collapsed="false">
      <c r="A145" s="0" t="s">
        <v>156</v>
      </c>
      <c r="B145" s="0" t="s">
        <v>350</v>
      </c>
      <c r="C145" s="0" t="n">
        <v>1</v>
      </c>
    </row>
    <row r="146" customFormat="false" ht="15" hidden="false" customHeight="false" outlineLevel="0" collapsed="false">
      <c r="A146" s="0" t="s">
        <v>156</v>
      </c>
      <c r="B146" s="0" t="s">
        <v>274</v>
      </c>
      <c r="C146" s="0" t="n">
        <v>1</v>
      </c>
    </row>
    <row r="147" customFormat="false" ht="15" hidden="false" customHeight="false" outlineLevel="0" collapsed="false">
      <c r="A147" s="0" t="s">
        <v>156</v>
      </c>
      <c r="B147" s="0" t="s">
        <v>351</v>
      </c>
      <c r="C147" s="0" t="n">
        <v>1</v>
      </c>
    </row>
    <row r="148" customFormat="false" ht="15" hidden="false" customHeight="false" outlineLevel="0" collapsed="false">
      <c r="A148" s="0" t="s">
        <v>156</v>
      </c>
      <c r="B148" s="0" t="s">
        <v>276</v>
      </c>
      <c r="C148" s="0" t="n">
        <v>1</v>
      </c>
    </row>
    <row r="149" customFormat="false" ht="15" hidden="false" customHeight="false" outlineLevel="0" collapsed="false">
      <c r="A149" s="0" t="s">
        <v>156</v>
      </c>
      <c r="B149" s="0" t="s">
        <v>277</v>
      </c>
      <c r="C149" s="0" t="n">
        <v>1</v>
      </c>
    </row>
    <row r="150" customFormat="false" ht="15" hidden="false" customHeight="false" outlineLevel="0" collapsed="false">
      <c r="A150" s="0" t="s">
        <v>156</v>
      </c>
      <c r="B150" s="0" t="s">
        <v>278</v>
      </c>
      <c r="C150" s="0" t="n">
        <v>1</v>
      </c>
    </row>
    <row r="151" customFormat="false" ht="15" hidden="false" customHeight="false" outlineLevel="0" collapsed="false">
      <c r="A151" s="0" t="s">
        <v>156</v>
      </c>
      <c r="B151" s="0" t="s">
        <v>279</v>
      </c>
      <c r="C151" s="0" t="n">
        <v>1</v>
      </c>
    </row>
    <row r="152" customFormat="false" ht="15" hidden="false" customHeight="false" outlineLevel="0" collapsed="false">
      <c r="A152" s="0" t="s">
        <v>156</v>
      </c>
      <c r="B152" s="0" t="s">
        <v>280</v>
      </c>
      <c r="C152" s="0" t="n">
        <v>1</v>
      </c>
    </row>
    <row r="153" customFormat="false" ht="15" hidden="false" customHeight="false" outlineLevel="0" collapsed="false">
      <c r="A153" s="0" t="s">
        <v>156</v>
      </c>
      <c r="B153" s="0" t="s">
        <v>281</v>
      </c>
      <c r="C153" s="0" t="n">
        <v>1</v>
      </c>
    </row>
    <row r="154" customFormat="false" ht="15" hidden="false" customHeight="false" outlineLevel="0" collapsed="false">
      <c r="A154" s="0" t="s">
        <v>156</v>
      </c>
      <c r="B154" s="0" t="s">
        <v>352</v>
      </c>
      <c r="C154" s="0" t="n">
        <v>1</v>
      </c>
    </row>
    <row r="155" customFormat="false" ht="15" hidden="false" customHeight="false" outlineLevel="0" collapsed="false">
      <c r="A155" s="0" t="s">
        <v>156</v>
      </c>
      <c r="B155" s="0" t="s">
        <v>283</v>
      </c>
      <c r="C155" s="0" t="n">
        <v>1</v>
      </c>
    </row>
    <row r="156" customFormat="false" ht="15" hidden="false" customHeight="false" outlineLevel="0" collapsed="false">
      <c r="A156" s="0" t="s">
        <v>156</v>
      </c>
      <c r="B156" s="0" t="s">
        <v>284</v>
      </c>
      <c r="C156" s="0" t="n">
        <v>1</v>
      </c>
    </row>
    <row r="157" customFormat="false" ht="15" hidden="false" customHeight="false" outlineLevel="0" collapsed="false">
      <c r="A157" s="0" t="s">
        <v>156</v>
      </c>
      <c r="B157" s="0" t="s">
        <v>285</v>
      </c>
      <c r="C157" s="0" t="n">
        <v>1</v>
      </c>
    </row>
    <row r="158" customFormat="false" ht="15" hidden="false" customHeight="false" outlineLevel="0" collapsed="false">
      <c r="A158" s="0" t="s">
        <v>156</v>
      </c>
      <c r="B158" s="0" t="s">
        <v>353</v>
      </c>
      <c r="C158" s="0" t="n">
        <v>1</v>
      </c>
    </row>
    <row r="159" customFormat="false" ht="15" hidden="false" customHeight="false" outlineLevel="0" collapsed="false">
      <c r="A159" s="0" t="s">
        <v>156</v>
      </c>
      <c r="B159" s="0" t="s">
        <v>354</v>
      </c>
      <c r="C159" s="0" t="n">
        <v>1</v>
      </c>
    </row>
    <row r="160" customFormat="false" ht="15" hidden="false" customHeight="false" outlineLevel="0" collapsed="false">
      <c r="A160" s="0" t="s">
        <v>156</v>
      </c>
      <c r="B160" s="0" t="s">
        <v>355</v>
      </c>
      <c r="C160" s="0" t="n">
        <v>1</v>
      </c>
    </row>
    <row r="161" customFormat="false" ht="15" hidden="false" customHeight="false" outlineLevel="0" collapsed="false">
      <c r="A161" s="0" t="s">
        <v>156</v>
      </c>
      <c r="B161" s="0" t="s">
        <v>356</v>
      </c>
      <c r="C161" s="0" t="n">
        <v>1</v>
      </c>
    </row>
    <row r="162" customFormat="false" ht="15" hidden="false" customHeight="false" outlineLevel="0" collapsed="false">
      <c r="A162" s="0" t="s">
        <v>156</v>
      </c>
      <c r="B162" s="0" t="s">
        <v>357</v>
      </c>
      <c r="C162" s="0" t="n">
        <v>1</v>
      </c>
    </row>
    <row r="163" customFormat="false" ht="15" hidden="false" customHeight="false" outlineLevel="0" collapsed="false">
      <c r="A163" s="0" t="s">
        <v>156</v>
      </c>
      <c r="B163" s="0" t="s">
        <v>291</v>
      </c>
      <c r="C163" s="0" t="n">
        <v>1</v>
      </c>
    </row>
    <row r="164" customFormat="false" ht="15" hidden="false" customHeight="false" outlineLevel="0" collapsed="false">
      <c r="A164" s="0" t="s">
        <v>156</v>
      </c>
      <c r="B164" s="0" t="s">
        <v>292</v>
      </c>
      <c r="C164" s="0" t="n">
        <v>1</v>
      </c>
    </row>
    <row r="165" customFormat="false" ht="15" hidden="false" customHeight="false" outlineLevel="0" collapsed="false">
      <c r="A165" s="0" t="s">
        <v>156</v>
      </c>
      <c r="B165" s="0" t="s">
        <v>293</v>
      </c>
      <c r="C165" s="0" t="n">
        <v>1</v>
      </c>
    </row>
    <row r="166" customFormat="false" ht="15" hidden="false" customHeight="false" outlineLevel="0" collapsed="false">
      <c r="A166" s="0" t="s">
        <v>156</v>
      </c>
      <c r="B166" s="0" t="s">
        <v>296</v>
      </c>
      <c r="C166" s="0" t="n">
        <v>1</v>
      </c>
    </row>
    <row r="167" customFormat="false" ht="15" hidden="false" customHeight="false" outlineLevel="0" collapsed="false">
      <c r="A167" s="0" t="s">
        <v>156</v>
      </c>
      <c r="B167" s="0" t="s">
        <v>297</v>
      </c>
      <c r="C167" s="0" t="n">
        <v>1</v>
      </c>
    </row>
    <row r="168" customFormat="false" ht="15" hidden="false" customHeight="false" outlineLevel="0" collapsed="false">
      <c r="A168" s="0" t="s">
        <v>156</v>
      </c>
      <c r="B168" s="0" t="s">
        <v>358</v>
      </c>
      <c r="C168" s="0" t="n">
        <v>1</v>
      </c>
    </row>
    <row r="169" customFormat="false" ht="15" hidden="false" customHeight="false" outlineLevel="0" collapsed="false">
      <c r="A169" s="0" t="s">
        <v>156</v>
      </c>
      <c r="B169" s="0" t="s">
        <v>359</v>
      </c>
      <c r="C169" s="0" t="n">
        <v>1</v>
      </c>
    </row>
    <row r="170" customFormat="false" ht="15" hidden="false" customHeight="false" outlineLevel="0" collapsed="false">
      <c r="A170" s="0" t="s">
        <v>156</v>
      </c>
      <c r="B170" s="0" t="s">
        <v>298</v>
      </c>
      <c r="C170" s="0" t="n">
        <v>1</v>
      </c>
    </row>
    <row r="171" customFormat="false" ht="15" hidden="false" customHeight="false" outlineLevel="0" collapsed="false">
      <c r="A171" s="0" t="s">
        <v>156</v>
      </c>
      <c r="B171" s="0" t="s">
        <v>299</v>
      </c>
      <c r="C171" s="0" t="n">
        <v>1</v>
      </c>
    </row>
    <row r="172" customFormat="false" ht="15" hidden="false" customHeight="false" outlineLevel="0" collapsed="false">
      <c r="A172" s="0" t="s">
        <v>156</v>
      </c>
      <c r="B172" s="0" t="s">
        <v>300</v>
      </c>
      <c r="C172" s="0" t="n">
        <v>1</v>
      </c>
    </row>
    <row r="173" customFormat="false" ht="15" hidden="false" customHeight="false" outlineLevel="0" collapsed="false">
      <c r="A173" s="0" t="s">
        <v>156</v>
      </c>
      <c r="B173" s="0" t="s">
        <v>301</v>
      </c>
      <c r="C173" s="0" t="n">
        <v>1</v>
      </c>
    </row>
    <row r="174" customFormat="false" ht="15" hidden="false" customHeight="false" outlineLevel="0" collapsed="false">
      <c r="A174" s="0" t="s">
        <v>156</v>
      </c>
      <c r="B174" s="0" t="s">
        <v>302</v>
      </c>
      <c r="C174" s="0" t="n">
        <v>1</v>
      </c>
    </row>
    <row r="175" customFormat="false" ht="15" hidden="false" customHeight="false" outlineLevel="0" collapsed="false">
      <c r="A175" s="0" t="s">
        <v>156</v>
      </c>
      <c r="B175" s="0" t="s">
        <v>360</v>
      </c>
      <c r="C175" s="0" t="n">
        <v>1</v>
      </c>
    </row>
    <row r="176" customFormat="false" ht="15" hidden="false" customHeight="false" outlineLevel="0" collapsed="false">
      <c r="A176" s="0" t="s">
        <v>156</v>
      </c>
      <c r="B176" s="0" t="s">
        <v>361</v>
      </c>
      <c r="C176" s="0" t="n">
        <v>1</v>
      </c>
    </row>
    <row r="177" customFormat="false" ht="15" hidden="false" customHeight="false" outlineLevel="0" collapsed="false">
      <c r="A177" s="0" t="s">
        <v>156</v>
      </c>
      <c r="B177" s="0" t="s">
        <v>305</v>
      </c>
      <c r="C177" s="0" t="n">
        <v>1</v>
      </c>
    </row>
    <row r="178" customFormat="false" ht="15" hidden="false" customHeight="false" outlineLevel="0" collapsed="false">
      <c r="A178" s="0" t="s">
        <v>156</v>
      </c>
      <c r="B178" s="0" t="s">
        <v>362</v>
      </c>
      <c r="C178" s="0" t="n">
        <v>1</v>
      </c>
    </row>
    <row r="179" customFormat="false" ht="15" hidden="false" customHeight="false" outlineLevel="0" collapsed="false">
      <c r="A179" s="0" t="s">
        <v>156</v>
      </c>
      <c r="B179" s="0" t="s">
        <v>363</v>
      </c>
      <c r="C179" s="0" t="n">
        <v>1</v>
      </c>
    </row>
    <row r="180" customFormat="false" ht="15" hidden="false" customHeight="false" outlineLevel="0" collapsed="false">
      <c r="A180" s="0" t="s">
        <v>157</v>
      </c>
      <c r="B180" s="0" t="s">
        <v>220</v>
      </c>
      <c r="C180" s="0" t="n">
        <v>1</v>
      </c>
    </row>
    <row r="181" customFormat="false" ht="15" hidden="false" customHeight="false" outlineLevel="0" collapsed="false">
      <c r="A181" s="0" t="s">
        <v>157</v>
      </c>
      <c r="B181" s="0" t="s">
        <v>364</v>
      </c>
      <c r="C181" s="0" t="n">
        <v>1</v>
      </c>
    </row>
    <row r="182" customFormat="false" ht="15" hidden="false" customHeight="false" outlineLevel="0" collapsed="false">
      <c r="A182" s="0" t="s">
        <v>157</v>
      </c>
      <c r="B182" s="0" t="s">
        <v>222</v>
      </c>
      <c r="C182" s="0" t="n">
        <v>1</v>
      </c>
    </row>
    <row r="183" customFormat="false" ht="15" hidden="false" customHeight="false" outlineLevel="0" collapsed="false">
      <c r="A183" s="0" t="s">
        <v>157</v>
      </c>
      <c r="B183" s="0" t="s">
        <v>365</v>
      </c>
      <c r="C183" s="0" t="n">
        <v>1</v>
      </c>
    </row>
    <row r="184" customFormat="false" ht="15" hidden="false" customHeight="false" outlineLevel="0" collapsed="false">
      <c r="A184" s="0" t="s">
        <v>157</v>
      </c>
      <c r="B184" s="0" t="s">
        <v>366</v>
      </c>
      <c r="C184" s="0" t="n">
        <v>1</v>
      </c>
    </row>
    <row r="185" customFormat="false" ht="15" hidden="false" customHeight="false" outlineLevel="0" collapsed="false">
      <c r="A185" s="0" t="s">
        <v>157</v>
      </c>
      <c r="B185" s="0" t="s">
        <v>367</v>
      </c>
      <c r="C185" s="0" t="n">
        <v>1</v>
      </c>
    </row>
    <row r="186" customFormat="false" ht="15" hidden="false" customHeight="false" outlineLevel="0" collapsed="false">
      <c r="A186" s="0" t="s">
        <v>157</v>
      </c>
      <c r="B186" s="0" t="s">
        <v>226</v>
      </c>
      <c r="C186" s="0" t="n">
        <v>1</v>
      </c>
    </row>
    <row r="187" customFormat="false" ht="15" hidden="false" customHeight="false" outlineLevel="0" collapsed="false">
      <c r="A187" s="0" t="s">
        <v>157</v>
      </c>
      <c r="B187" s="0" t="s">
        <v>368</v>
      </c>
      <c r="C187" s="0" t="n">
        <v>1</v>
      </c>
    </row>
    <row r="188" customFormat="false" ht="15" hidden="false" customHeight="false" outlineLevel="0" collapsed="false">
      <c r="A188" s="0" t="s">
        <v>157</v>
      </c>
      <c r="B188" s="0" t="s">
        <v>228</v>
      </c>
      <c r="C188" s="0" t="n">
        <v>1</v>
      </c>
    </row>
    <row r="189" customFormat="false" ht="15" hidden="false" customHeight="false" outlineLevel="0" collapsed="false">
      <c r="A189" s="0" t="s">
        <v>157</v>
      </c>
      <c r="B189" s="0" t="s">
        <v>369</v>
      </c>
      <c r="C189" s="0" t="n">
        <v>1</v>
      </c>
    </row>
    <row r="190" customFormat="false" ht="15" hidden="false" customHeight="false" outlineLevel="0" collapsed="false">
      <c r="A190" s="0" t="s">
        <v>157</v>
      </c>
      <c r="B190" s="0" t="s">
        <v>370</v>
      </c>
      <c r="C190" s="0" t="n">
        <v>1</v>
      </c>
    </row>
    <row r="191" customFormat="false" ht="15" hidden="false" customHeight="false" outlineLevel="0" collapsed="false">
      <c r="A191" s="0" t="s">
        <v>157</v>
      </c>
      <c r="B191" s="0" t="s">
        <v>371</v>
      </c>
      <c r="C191" s="0" t="n">
        <v>1</v>
      </c>
    </row>
    <row r="192" customFormat="false" ht="15" hidden="false" customHeight="false" outlineLevel="0" collapsed="false">
      <c r="A192" s="0" t="s">
        <v>157</v>
      </c>
      <c r="B192" s="0" t="s">
        <v>232</v>
      </c>
      <c r="C192" s="0" t="n">
        <v>1</v>
      </c>
    </row>
    <row r="193" customFormat="false" ht="15" hidden="false" customHeight="false" outlineLevel="0" collapsed="false">
      <c r="A193" s="0" t="s">
        <v>157</v>
      </c>
      <c r="B193" s="0" t="s">
        <v>372</v>
      </c>
      <c r="C193" s="0" t="n">
        <v>1</v>
      </c>
    </row>
    <row r="194" customFormat="false" ht="15" hidden="false" customHeight="false" outlineLevel="0" collapsed="false">
      <c r="A194" s="0" t="s">
        <v>157</v>
      </c>
      <c r="B194" s="0" t="s">
        <v>234</v>
      </c>
      <c r="C194" s="0" t="n">
        <v>1</v>
      </c>
    </row>
    <row r="195" customFormat="false" ht="15" hidden="false" customHeight="false" outlineLevel="0" collapsed="false">
      <c r="A195" s="0" t="s">
        <v>157</v>
      </c>
      <c r="B195" s="0" t="s">
        <v>373</v>
      </c>
      <c r="C195" s="0" t="n">
        <v>1</v>
      </c>
    </row>
    <row r="196" customFormat="false" ht="15" hidden="false" customHeight="false" outlineLevel="0" collapsed="false">
      <c r="A196" s="0" t="s">
        <v>157</v>
      </c>
      <c r="B196" s="0" t="s">
        <v>236</v>
      </c>
      <c r="C196" s="0" t="n">
        <v>1</v>
      </c>
    </row>
    <row r="197" customFormat="false" ht="15" hidden="false" customHeight="false" outlineLevel="0" collapsed="false">
      <c r="A197" s="0" t="s">
        <v>157</v>
      </c>
      <c r="B197" s="0" t="s">
        <v>374</v>
      </c>
      <c r="C197" s="0" t="n">
        <v>1</v>
      </c>
    </row>
    <row r="198" customFormat="false" ht="15" hidden="false" customHeight="false" outlineLevel="0" collapsed="false">
      <c r="A198" s="0" t="s">
        <v>157</v>
      </c>
      <c r="B198" s="0" t="s">
        <v>375</v>
      </c>
      <c r="C198" s="0" t="n">
        <v>1</v>
      </c>
    </row>
    <row r="199" customFormat="false" ht="15" hidden="false" customHeight="false" outlineLevel="0" collapsed="false">
      <c r="A199" s="0" t="s">
        <v>157</v>
      </c>
      <c r="B199" s="0" t="s">
        <v>376</v>
      </c>
      <c r="C199" s="0" t="n">
        <v>1</v>
      </c>
    </row>
    <row r="200" customFormat="false" ht="15" hidden="false" customHeight="false" outlineLevel="0" collapsed="false">
      <c r="A200" s="0" t="s">
        <v>157</v>
      </c>
      <c r="B200" s="0" t="s">
        <v>377</v>
      </c>
      <c r="C200" s="0" t="n">
        <v>1</v>
      </c>
    </row>
    <row r="201" customFormat="false" ht="15" hidden="false" customHeight="false" outlineLevel="0" collapsed="false">
      <c r="A201" s="0" t="s">
        <v>157</v>
      </c>
      <c r="B201" s="0" t="s">
        <v>378</v>
      </c>
      <c r="C201" s="0" t="n">
        <v>1</v>
      </c>
    </row>
    <row r="202" customFormat="false" ht="15" hidden="false" customHeight="false" outlineLevel="0" collapsed="false">
      <c r="A202" s="0" t="s">
        <v>157</v>
      </c>
      <c r="B202" s="0" t="s">
        <v>243</v>
      </c>
      <c r="C202" s="0" t="n">
        <v>1</v>
      </c>
    </row>
    <row r="203" customFormat="false" ht="15" hidden="false" customHeight="false" outlineLevel="0" collapsed="false">
      <c r="A203" s="0" t="s">
        <v>157</v>
      </c>
      <c r="B203" s="0" t="s">
        <v>244</v>
      </c>
      <c r="C203" s="0" t="n">
        <v>1</v>
      </c>
    </row>
    <row r="204" customFormat="false" ht="15" hidden="false" customHeight="false" outlineLevel="0" collapsed="false">
      <c r="A204" s="0" t="s">
        <v>157</v>
      </c>
      <c r="B204" s="0" t="s">
        <v>379</v>
      </c>
      <c r="C204" s="0" t="n">
        <v>1</v>
      </c>
    </row>
    <row r="205" customFormat="false" ht="15" hidden="false" customHeight="false" outlineLevel="0" collapsed="false">
      <c r="A205" s="0" t="s">
        <v>157</v>
      </c>
      <c r="B205" s="0" t="s">
        <v>246</v>
      </c>
      <c r="C205" s="0" t="n">
        <v>1</v>
      </c>
    </row>
    <row r="206" customFormat="false" ht="15" hidden="false" customHeight="false" outlineLevel="0" collapsed="false">
      <c r="A206" s="0" t="s">
        <v>157</v>
      </c>
      <c r="B206" s="0" t="s">
        <v>380</v>
      </c>
      <c r="C206" s="0" t="n">
        <v>1</v>
      </c>
    </row>
    <row r="207" customFormat="false" ht="15" hidden="false" customHeight="false" outlineLevel="0" collapsed="false">
      <c r="A207" s="0" t="s">
        <v>157</v>
      </c>
      <c r="B207" s="0" t="s">
        <v>381</v>
      </c>
      <c r="C207" s="0" t="n">
        <v>1</v>
      </c>
    </row>
    <row r="208" customFormat="false" ht="15" hidden="false" customHeight="false" outlineLevel="0" collapsed="false">
      <c r="A208" s="0" t="s">
        <v>157</v>
      </c>
      <c r="B208" s="0" t="s">
        <v>382</v>
      </c>
      <c r="C208" s="0" t="n">
        <v>1</v>
      </c>
    </row>
    <row r="209" customFormat="false" ht="15" hidden="false" customHeight="false" outlineLevel="0" collapsed="false">
      <c r="A209" s="0" t="s">
        <v>157</v>
      </c>
      <c r="B209" s="0" t="s">
        <v>383</v>
      </c>
      <c r="C209" s="0" t="n">
        <v>1</v>
      </c>
    </row>
    <row r="210" customFormat="false" ht="15" hidden="false" customHeight="false" outlineLevel="0" collapsed="false">
      <c r="A210" s="0" t="s">
        <v>157</v>
      </c>
      <c r="B210" s="0" t="s">
        <v>252</v>
      </c>
      <c r="C210" s="0" t="n">
        <v>1</v>
      </c>
    </row>
    <row r="211" customFormat="false" ht="15" hidden="false" customHeight="false" outlineLevel="0" collapsed="false">
      <c r="A211" s="0" t="s">
        <v>157</v>
      </c>
      <c r="B211" s="0" t="s">
        <v>253</v>
      </c>
      <c r="C211" s="0" t="n">
        <v>1</v>
      </c>
    </row>
    <row r="212" customFormat="false" ht="15" hidden="false" customHeight="false" outlineLevel="0" collapsed="false">
      <c r="A212" s="0" t="s">
        <v>157</v>
      </c>
      <c r="B212" s="0" t="s">
        <v>384</v>
      </c>
      <c r="C212" s="0" t="n">
        <v>1</v>
      </c>
    </row>
    <row r="213" customFormat="false" ht="15" hidden="false" customHeight="false" outlineLevel="0" collapsed="false">
      <c r="A213" s="0" t="s">
        <v>157</v>
      </c>
      <c r="B213" s="0" t="s">
        <v>255</v>
      </c>
      <c r="C213" s="0" t="n">
        <v>1</v>
      </c>
    </row>
    <row r="214" customFormat="false" ht="15" hidden="false" customHeight="false" outlineLevel="0" collapsed="false">
      <c r="A214" s="0" t="s">
        <v>157</v>
      </c>
      <c r="B214" s="0" t="s">
        <v>256</v>
      </c>
      <c r="C214" s="0" t="n">
        <v>1</v>
      </c>
    </row>
    <row r="215" customFormat="false" ht="15" hidden="false" customHeight="false" outlineLevel="0" collapsed="false">
      <c r="A215" s="0" t="s">
        <v>157</v>
      </c>
      <c r="B215" s="0" t="s">
        <v>340</v>
      </c>
      <c r="C215" s="0" t="n">
        <v>1</v>
      </c>
    </row>
    <row r="216" customFormat="false" ht="15" hidden="false" customHeight="false" outlineLevel="0" collapsed="false">
      <c r="A216" s="0" t="s">
        <v>157</v>
      </c>
      <c r="B216" s="0" t="s">
        <v>385</v>
      </c>
      <c r="C216" s="0" t="n">
        <v>1</v>
      </c>
    </row>
    <row r="217" customFormat="false" ht="15" hidden="false" customHeight="false" outlineLevel="0" collapsed="false">
      <c r="A217" s="0" t="s">
        <v>157</v>
      </c>
      <c r="B217" s="0" t="s">
        <v>260</v>
      </c>
      <c r="C217" s="0" t="n">
        <v>1</v>
      </c>
    </row>
    <row r="218" customFormat="false" ht="15" hidden="false" customHeight="false" outlineLevel="0" collapsed="false">
      <c r="A218" s="0" t="s">
        <v>157</v>
      </c>
      <c r="B218" s="0" t="s">
        <v>343</v>
      </c>
      <c r="C218" s="0" t="n">
        <v>1</v>
      </c>
    </row>
    <row r="219" customFormat="false" ht="15" hidden="false" customHeight="false" outlineLevel="0" collapsed="false">
      <c r="A219" s="0" t="s">
        <v>157</v>
      </c>
      <c r="B219" s="0" t="s">
        <v>262</v>
      </c>
      <c r="C219" s="0" t="n">
        <v>1</v>
      </c>
    </row>
    <row r="220" customFormat="false" ht="15" hidden="false" customHeight="false" outlineLevel="0" collapsed="false">
      <c r="A220" s="0" t="s">
        <v>157</v>
      </c>
      <c r="B220" s="0" t="s">
        <v>386</v>
      </c>
      <c r="C220" s="0" t="n">
        <v>1</v>
      </c>
    </row>
    <row r="221" customFormat="false" ht="15" hidden="false" customHeight="false" outlineLevel="0" collapsed="false">
      <c r="A221" s="0" t="s">
        <v>157</v>
      </c>
      <c r="B221" s="0" t="s">
        <v>264</v>
      </c>
      <c r="C221" s="0" t="n">
        <v>1</v>
      </c>
    </row>
    <row r="222" customFormat="false" ht="15" hidden="false" customHeight="false" outlineLevel="0" collapsed="false">
      <c r="A222" s="0" t="s">
        <v>157</v>
      </c>
      <c r="B222" s="0" t="s">
        <v>265</v>
      </c>
      <c r="C222" s="0" t="n">
        <v>1</v>
      </c>
    </row>
    <row r="223" customFormat="false" ht="15" hidden="false" customHeight="false" outlineLevel="0" collapsed="false">
      <c r="A223" s="0" t="s">
        <v>157</v>
      </c>
      <c r="B223" s="0" t="s">
        <v>266</v>
      </c>
      <c r="C223" s="0" t="n">
        <v>1</v>
      </c>
    </row>
    <row r="224" customFormat="false" ht="15" hidden="false" customHeight="false" outlineLevel="0" collapsed="false">
      <c r="A224" s="0" t="s">
        <v>157</v>
      </c>
      <c r="B224" s="0" t="s">
        <v>387</v>
      </c>
      <c r="C224" s="0" t="n">
        <v>1</v>
      </c>
    </row>
    <row r="225" customFormat="false" ht="15" hidden="false" customHeight="false" outlineLevel="0" collapsed="false">
      <c r="A225" s="0" t="s">
        <v>157</v>
      </c>
      <c r="B225" s="0" t="s">
        <v>348</v>
      </c>
      <c r="C225" s="0" t="n">
        <v>1</v>
      </c>
    </row>
    <row r="226" customFormat="false" ht="15" hidden="false" customHeight="false" outlineLevel="0" collapsed="false">
      <c r="A226" s="0" t="s">
        <v>157</v>
      </c>
      <c r="B226" s="0" t="s">
        <v>269</v>
      </c>
      <c r="C226" s="0" t="n">
        <v>1</v>
      </c>
    </row>
    <row r="227" customFormat="false" ht="15" hidden="false" customHeight="false" outlineLevel="0" collapsed="false">
      <c r="A227" s="0" t="s">
        <v>157</v>
      </c>
      <c r="B227" s="0" t="s">
        <v>388</v>
      </c>
      <c r="C227" s="0" t="n">
        <v>1</v>
      </c>
    </row>
    <row r="228" customFormat="false" ht="15" hidden="false" customHeight="false" outlineLevel="0" collapsed="false">
      <c r="A228" s="0" t="s">
        <v>157</v>
      </c>
      <c r="B228" s="0" t="s">
        <v>271</v>
      </c>
      <c r="C228" s="0" t="n">
        <v>1</v>
      </c>
    </row>
    <row r="229" customFormat="false" ht="15" hidden="false" customHeight="false" outlineLevel="0" collapsed="false">
      <c r="A229" s="0" t="s">
        <v>157</v>
      </c>
      <c r="B229" s="0" t="s">
        <v>389</v>
      </c>
      <c r="C229" s="0" t="n">
        <v>1</v>
      </c>
    </row>
    <row r="230" customFormat="false" ht="15" hidden="false" customHeight="false" outlineLevel="0" collapsed="false">
      <c r="A230" s="0" t="s">
        <v>157</v>
      </c>
      <c r="B230" s="0" t="s">
        <v>273</v>
      </c>
      <c r="C230" s="0" t="n">
        <v>1</v>
      </c>
    </row>
    <row r="231" customFormat="false" ht="15" hidden="false" customHeight="false" outlineLevel="0" collapsed="false">
      <c r="A231" s="0" t="s">
        <v>157</v>
      </c>
      <c r="B231" s="0" t="s">
        <v>274</v>
      </c>
      <c r="C231" s="0" t="n">
        <v>1</v>
      </c>
    </row>
    <row r="232" customFormat="false" ht="15" hidden="false" customHeight="false" outlineLevel="0" collapsed="false">
      <c r="A232" s="0" t="s">
        <v>157</v>
      </c>
      <c r="B232" s="0" t="s">
        <v>390</v>
      </c>
      <c r="C232" s="0" t="n">
        <v>1</v>
      </c>
    </row>
    <row r="233" customFormat="false" ht="15" hidden="false" customHeight="false" outlineLevel="0" collapsed="false">
      <c r="A233" s="0" t="s">
        <v>157</v>
      </c>
      <c r="B233" s="0" t="s">
        <v>276</v>
      </c>
      <c r="C233" s="0" t="n">
        <v>1</v>
      </c>
    </row>
    <row r="234" customFormat="false" ht="15" hidden="false" customHeight="false" outlineLevel="0" collapsed="false">
      <c r="A234" s="0" t="s">
        <v>157</v>
      </c>
      <c r="B234" s="0" t="s">
        <v>277</v>
      </c>
      <c r="C234" s="0" t="n">
        <v>1</v>
      </c>
    </row>
    <row r="235" customFormat="false" ht="15" hidden="false" customHeight="false" outlineLevel="0" collapsed="false">
      <c r="A235" s="0" t="s">
        <v>157</v>
      </c>
      <c r="B235" s="0" t="s">
        <v>278</v>
      </c>
      <c r="C235" s="0" t="n">
        <v>1</v>
      </c>
    </row>
    <row r="236" customFormat="false" ht="15" hidden="false" customHeight="false" outlineLevel="0" collapsed="false">
      <c r="A236" s="0" t="s">
        <v>157</v>
      </c>
      <c r="B236" s="0" t="s">
        <v>279</v>
      </c>
      <c r="C236" s="0" t="n">
        <v>1</v>
      </c>
    </row>
    <row r="237" customFormat="false" ht="15" hidden="false" customHeight="false" outlineLevel="0" collapsed="false">
      <c r="A237" s="0" t="s">
        <v>157</v>
      </c>
      <c r="B237" s="0" t="s">
        <v>280</v>
      </c>
      <c r="C237" s="0" t="n">
        <v>1</v>
      </c>
    </row>
    <row r="238" customFormat="false" ht="15" hidden="false" customHeight="false" outlineLevel="0" collapsed="false">
      <c r="A238" s="0" t="s">
        <v>157</v>
      </c>
      <c r="B238" s="0" t="s">
        <v>281</v>
      </c>
      <c r="C238" s="0" t="n">
        <v>1</v>
      </c>
    </row>
    <row r="239" customFormat="false" ht="15" hidden="false" customHeight="false" outlineLevel="0" collapsed="false">
      <c r="A239" s="0" t="s">
        <v>157</v>
      </c>
      <c r="B239" s="0" t="s">
        <v>352</v>
      </c>
      <c r="C239" s="0" t="n">
        <v>1</v>
      </c>
    </row>
    <row r="240" customFormat="false" ht="15" hidden="false" customHeight="false" outlineLevel="0" collapsed="false">
      <c r="A240" s="0" t="s">
        <v>157</v>
      </c>
      <c r="B240" s="0" t="s">
        <v>283</v>
      </c>
      <c r="C240" s="0" t="n">
        <v>1</v>
      </c>
    </row>
    <row r="241" customFormat="false" ht="15" hidden="false" customHeight="false" outlineLevel="0" collapsed="false">
      <c r="A241" s="0" t="s">
        <v>157</v>
      </c>
      <c r="B241" s="0" t="s">
        <v>284</v>
      </c>
      <c r="C241" s="0" t="n">
        <v>1</v>
      </c>
    </row>
    <row r="242" customFormat="false" ht="15" hidden="false" customHeight="false" outlineLevel="0" collapsed="false">
      <c r="A242" s="0" t="s">
        <v>157</v>
      </c>
      <c r="B242" s="0" t="s">
        <v>285</v>
      </c>
      <c r="C242" s="0" t="n">
        <v>1</v>
      </c>
    </row>
    <row r="243" customFormat="false" ht="15" hidden="false" customHeight="false" outlineLevel="0" collapsed="false">
      <c r="A243" s="0" t="s">
        <v>157</v>
      </c>
      <c r="B243" s="0" t="s">
        <v>353</v>
      </c>
      <c r="C243" s="0" t="n">
        <v>1</v>
      </c>
    </row>
    <row r="244" customFormat="false" ht="15" hidden="false" customHeight="false" outlineLevel="0" collapsed="false">
      <c r="A244" s="0" t="s">
        <v>157</v>
      </c>
      <c r="B244" s="0" t="s">
        <v>354</v>
      </c>
      <c r="C244" s="0" t="n">
        <v>1</v>
      </c>
    </row>
    <row r="245" customFormat="false" ht="15" hidden="false" customHeight="false" outlineLevel="0" collapsed="false">
      <c r="A245" s="0" t="s">
        <v>157</v>
      </c>
      <c r="B245" s="0" t="s">
        <v>288</v>
      </c>
      <c r="C245" s="0" t="n">
        <v>1</v>
      </c>
    </row>
    <row r="246" customFormat="false" ht="15" hidden="false" customHeight="false" outlineLevel="0" collapsed="false">
      <c r="A246" s="0" t="s">
        <v>157</v>
      </c>
      <c r="B246" s="0" t="s">
        <v>356</v>
      </c>
      <c r="C246" s="0" t="n">
        <v>1</v>
      </c>
    </row>
    <row r="247" customFormat="false" ht="15" hidden="false" customHeight="false" outlineLevel="0" collapsed="false">
      <c r="A247" s="0" t="s">
        <v>157</v>
      </c>
      <c r="B247" s="0" t="s">
        <v>391</v>
      </c>
      <c r="C247" s="0" t="n">
        <v>1</v>
      </c>
    </row>
    <row r="248" customFormat="false" ht="15" hidden="false" customHeight="false" outlineLevel="0" collapsed="false">
      <c r="A248" s="0" t="s">
        <v>157</v>
      </c>
      <c r="B248" s="0" t="s">
        <v>291</v>
      </c>
      <c r="C248" s="0" t="n">
        <v>1</v>
      </c>
    </row>
    <row r="249" customFormat="false" ht="15" hidden="false" customHeight="false" outlineLevel="0" collapsed="false">
      <c r="A249" s="0" t="s">
        <v>157</v>
      </c>
      <c r="B249" s="0" t="s">
        <v>292</v>
      </c>
      <c r="C249" s="0" t="n">
        <v>1</v>
      </c>
    </row>
    <row r="250" customFormat="false" ht="15" hidden="false" customHeight="false" outlineLevel="0" collapsed="false">
      <c r="A250" s="0" t="s">
        <v>157</v>
      </c>
      <c r="B250" s="0" t="s">
        <v>293</v>
      </c>
      <c r="C250" s="0" t="n">
        <v>1</v>
      </c>
    </row>
    <row r="251" customFormat="false" ht="15" hidden="false" customHeight="false" outlineLevel="0" collapsed="false">
      <c r="A251" s="0" t="s">
        <v>157</v>
      </c>
      <c r="B251" s="0" t="s">
        <v>294</v>
      </c>
      <c r="C251" s="0" t="n">
        <v>1</v>
      </c>
    </row>
    <row r="252" customFormat="false" ht="15" hidden="false" customHeight="false" outlineLevel="0" collapsed="false">
      <c r="A252" s="0" t="s">
        <v>157</v>
      </c>
      <c r="B252" s="0" t="s">
        <v>296</v>
      </c>
      <c r="C252" s="0" t="n">
        <v>1</v>
      </c>
    </row>
    <row r="253" customFormat="false" ht="15" hidden="false" customHeight="false" outlineLevel="0" collapsed="false">
      <c r="A253" s="0" t="s">
        <v>157</v>
      </c>
      <c r="B253" s="0" t="s">
        <v>297</v>
      </c>
      <c r="C253" s="0" t="n">
        <v>1</v>
      </c>
    </row>
    <row r="254" customFormat="false" ht="15" hidden="false" customHeight="false" outlineLevel="0" collapsed="false">
      <c r="A254" s="0" t="s">
        <v>157</v>
      </c>
      <c r="B254" s="0" t="s">
        <v>358</v>
      </c>
      <c r="C254" s="0" t="n">
        <v>1</v>
      </c>
    </row>
    <row r="255" customFormat="false" ht="15" hidden="false" customHeight="false" outlineLevel="0" collapsed="false">
      <c r="A255" s="0" t="s">
        <v>157</v>
      </c>
      <c r="B255" s="0" t="s">
        <v>298</v>
      </c>
      <c r="C255" s="0" t="n">
        <v>1</v>
      </c>
    </row>
    <row r="256" customFormat="false" ht="15" hidden="false" customHeight="false" outlineLevel="0" collapsed="false">
      <c r="A256" s="0" t="s">
        <v>157</v>
      </c>
      <c r="B256" s="0" t="s">
        <v>299</v>
      </c>
      <c r="C256" s="0" t="n">
        <v>1</v>
      </c>
    </row>
    <row r="257" customFormat="false" ht="15" hidden="false" customHeight="false" outlineLevel="0" collapsed="false">
      <c r="A257" s="0" t="s">
        <v>157</v>
      </c>
      <c r="B257" s="0" t="s">
        <v>300</v>
      </c>
      <c r="C257" s="0" t="n">
        <v>1</v>
      </c>
    </row>
    <row r="258" customFormat="false" ht="15" hidden="false" customHeight="false" outlineLevel="0" collapsed="false">
      <c r="A258" s="0" t="s">
        <v>157</v>
      </c>
      <c r="B258" s="0" t="s">
        <v>301</v>
      </c>
      <c r="C258" s="0" t="n">
        <v>1</v>
      </c>
    </row>
    <row r="259" customFormat="false" ht="15" hidden="false" customHeight="false" outlineLevel="0" collapsed="false">
      <c r="A259" s="0" t="s">
        <v>157</v>
      </c>
      <c r="B259" s="0" t="s">
        <v>392</v>
      </c>
      <c r="C259" s="0" t="n">
        <v>1</v>
      </c>
    </row>
    <row r="260" customFormat="false" ht="15" hidden="false" customHeight="false" outlineLevel="0" collapsed="false">
      <c r="A260" s="0" t="s">
        <v>157</v>
      </c>
      <c r="B260" s="0" t="s">
        <v>360</v>
      </c>
      <c r="C260" s="0" t="n">
        <v>1</v>
      </c>
    </row>
    <row r="261" customFormat="false" ht="15" hidden="false" customHeight="false" outlineLevel="0" collapsed="false">
      <c r="A261" s="0" t="s">
        <v>157</v>
      </c>
      <c r="B261" s="0" t="s">
        <v>393</v>
      </c>
      <c r="C261" s="0" t="n">
        <v>1</v>
      </c>
    </row>
    <row r="262" customFormat="false" ht="15" hidden="false" customHeight="false" outlineLevel="0" collapsed="false">
      <c r="A262" s="0" t="s">
        <v>157</v>
      </c>
      <c r="B262" s="0" t="s">
        <v>305</v>
      </c>
      <c r="C262" s="0" t="n">
        <v>1</v>
      </c>
    </row>
    <row r="263" customFormat="false" ht="15" hidden="false" customHeight="false" outlineLevel="0" collapsed="false">
      <c r="A263" s="0" t="s">
        <v>157</v>
      </c>
      <c r="B263" s="0" t="s">
        <v>362</v>
      </c>
      <c r="C263" s="0" t="n">
        <v>1</v>
      </c>
    </row>
    <row r="264" customFormat="false" ht="15" hidden="false" customHeight="false" outlineLevel="0" collapsed="false">
      <c r="A264" s="0" t="s">
        <v>157</v>
      </c>
      <c r="B264" s="0" t="s">
        <v>307</v>
      </c>
      <c r="C264" s="0" t="n">
        <v>1</v>
      </c>
    </row>
    <row r="265" customFormat="false" ht="15" hidden="false" customHeight="false" outlineLevel="0" collapsed="false">
      <c r="A265" s="0" t="s">
        <v>158</v>
      </c>
      <c r="B265" s="0" t="s">
        <v>220</v>
      </c>
      <c r="C265" s="0" t="n">
        <v>1</v>
      </c>
    </row>
    <row r="266" customFormat="false" ht="15" hidden="false" customHeight="false" outlineLevel="0" collapsed="false">
      <c r="A266" s="0" t="s">
        <v>158</v>
      </c>
      <c r="B266" s="0" t="s">
        <v>308</v>
      </c>
      <c r="C266" s="0" t="n">
        <v>1</v>
      </c>
    </row>
    <row r="267" customFormat="false" ht="15" hidden="false" customHeight="false" outlineLevel="0" collapsed="false">
      <c r="A267" s="0" t="s">
        <v>158</v>
      </c>
      <c r="B267" s="0" t="s">
        <v>394</v>
      </c>
      <c r="C267" s="0" t="n">
        <v>1</v>
      </c>
    </row>
    <row r="268" customFormat="false" ht="15" hidden="false" customHeight="false" outlineLevel="0" collapsed="false">
      <c r="A268" s="0" t="s">
        <v>158</v>
      </c>
      <c r="B268" s="0" t="s">
        <v>311</v>
      </c>
      <c r="C268" s="0" t="n">
        <v>1</v>
      </c>
    </row>
    <row r="269" customFormat="false" ht="15" hidden="false" customHeight="false" outlineLevel="0" collapsed="false">
      <c r="A269" s="0" t="s">
        <v>158</v>
      </c>
      <c r="B269" s="0" t="s">
        <v>395</v>
      </c>
      <c r="C269" s="0" t="n">
        <v>1</v>
      </c>
    </row>
    <row r="270" customFormat="false" ht="15" hidden="false" customHeight="false" outlineLevel="0" collapsed="false">
      <c r="A270" s="0" t="s">
        <v>158</v>
      </c>
      <c r="B270" s="0" t="s">
        <v>396</v>
      </c>
      <c r="C270" s="0" t="n">
        <v>1</v>
      </c>
    </row>
    <row r="271" customFormat="false" ht="15" hidden="false" customHeight="false" outlineLevel="0" collapsed="false">
      <c r="A271" s="0" t="s">
        <v>158</v>
      </c>
      <c r="B271" s="0" t="s">
        <v>225</v>
      </c>
      <c r="C271" s="0" t="n">
        <v>1</v>
      </c>
    </row>
    <row r="272" customFormat="false" ht="15" hidden="false" customHeight="false" outlineLevel="0" collapsed="false">
      <c r="A272" s="0" t="s">
        <v>158</v>
      </c>
      <c r="B272" s="0" t="s">
        <v>313</v>
      </c>
      <c r="C272" s="0" t="n">
        <v>1</v>
      </c>
    </row>
    <row r="273" customFormat="false" ht="15" hidden="false" customHeight="false" outlineLevel="0" collapsed="false">
      <c r="A273" s="0" t="s">
        <v>158</v>
      </c>
      <c r="B273" s="0" t="s">
        <v>227</v>
      </c>
      <c r="C273" s="0" t="n">
        <v>1</v>
      </c>
    </row>
    <row r="274" customFormat="false" ht="15" hidden="false" customHeight="false" outlineLevel="0" collapsed="false">
      <c r="A274" s="0" t="s">
        <v>158</v>
      </c>
      <c r="B274" s="0" t="s">
        <v>314</v>
      </c>
      <c r="C274" s="0" t="n">
        <v>1</v>
      </c>
    </row>
    <row r="275" customFormat="false" ht="15" hidden="false" customHeight="false" outlineLevel="0" collapsed="false">
      <c r="A275" s="0" t="s">
        <v>158</v>
      </c>
      <c r="B275" s="0" t="s">
        <v>315</v>
      </c>
      <c r="C275" s="0" t="n">
        <v>1</v>
      </c>
    </row>
    <row r="276" customFormat="false" ht="15" hidden="false" customHeight="false" outlineLevel="0" collapsed="false">
      <c r="A276" s="0" t="s">
        <v>158</v>
      </c>
      <c r="B276" s="0" t="s">
        <v>397</v>
      </c>
      <c r="C276" s="0" t="n">
        <v>1</v>
      </c>
    </row>
    <row r="277" customFormat="false" ht="15" hidden="false" customHeight="false" outlineLevel="0" collapsed="false">
      <c r="A277" s="0" t="s">
        <v>158</v>
      </c>
      <c r="B277" s="0" t="s">
        <v>371</v>
      </c>
      <c r="C277" s="0" t="n">
        <v>1</v>
      </c>
    </row>
    <row r="278" customFormat="false" ht="15" hidden="false" customHeight="false" outlineLevel="0" collapsed="false">
      <c r="A278" s="0" t="s">
        <v>158</v>
      </c>
      <c r="B278" s="0" t="s">
        <v>398</v>
      </c>
      <c r="C278" s="0" t="n">
        <v>1</v>
      </c>
    </row>
    <row r="279" customFormat="false" ht="15" hidden="false" customHeight="false" outlineLevel="0" collapsed="false">
      <c r="A279" s="0" t="s">
        <v>158</v>
      </c>
      <c r="B279" s="0" t="s">
        <v>233</v>
      </c>
      <c r="C279" s="0" t="n">
        <v>1</v>
      </c>
    </row>
    <row r="280" customFormat="false" ht="15" hidden="false" customHeight="false" outlineLevel="0" collapsed="false">
      <c r="A280" s="0" t="s">
        <v>158</v>
      </c>
      <c r="B280" s="0" t="s">
        <v>320</v>
      </c>
      <c r="C280" s="0" t="n">
        <v>1</v>
      </c>
    </row>
    <row r="281" customFormat="false" ht="15" hidden="false" customHeight="false" outlineLevel="0" collapsed="false">
      <c r="A281" s="0" t="s">
        <v>158</v>
      </c>
      <c r="B281" s="0" t="s">
        <v>235</v>
      </c>
      <c r="C281" s="0" t="n">
        <v>1</v>
      </c>
    </row>
    <row r="282" customFormat="false" ht="15" hidden="false" customHeight="false" outlineLevel="0" collapsed="false">
      <c r="A282" s="0" t="s">
        <v>158</v>
      </c>
      <c r="B282" s="0" t="s">
        <v>321</v>
      </c>
      <c r="C282" s="0" t="n">
        <v>1</v>
      </c>
    </row>
    <row r="283" customFormat="false" ht="15" hidden="false" customHeight="false" outlineLevel="0" collapsed="false">
      <c r="A283" s="0" t="s">
        <v>158</v>
      </c>
      <c r="B283" s="0" t="s">
        <v>399</v>
      </c>
      <c r="C283" s="0" t="n">
        <v>1</v>
      </c>
    </row>
    <row r="284" customFormat="false" ht="15" hidden="false" customHeight="false" outlineLevel="0" collapsed="false">
      <c r="A284" s="0" t="s">
        <v>158</v>
      </c>
      <c r="B284" s="0" t="s">
        <v>400</v>
      </c>
      <c r="C284" s="0" t="n">
        <v>1</v>
      </c>
    </row>
    <row r="285" customFormat="false" ht="15" hidden="false" customHeight="false" outlineLevel="0" collapsed="false">
      <c r="A285" s="0" t="s">
        <v>158</v>
      </c>
      <c r="B285" s="0" t="s">
        <v>240</v>
      </c>
      <c r="C285" s="0" t="n">
        <v>1</v>
      </c>
    </row>
    <row r="286" customFormat="false" ht="15" hidden="false" customHeight="false" outlineLevel="0" collapsed="false">
      <c r="A286" s="0" t="s">
        <v>158</v>
      </c>
      <c r="B286" s="0" t="s">
        <v>401</v>
      </c>
      <c r="C286" s="0" t="n">
        <v>1</v>
      </c>
    </row>
    <row r="287" customFormat="false" ht="15" hidden="false" customHeight="false" outlineLevel="0" collapsed="false">
      <c r="A287" s="0" t="s">
        <v>158</v>
      </c>
      <c r="B287" s="0" t="s">
        <v>242</v>
      </c>
      <c r="C287" s="0" t="n">
        <v>1</v>
      </c>
    </row>
    <row r="288" customFormat="false" ht="15" hidden="false" customHeight="false" outlineLevel="0" collapsed="false">
      <c r="A288" s="0" t="s">
        <v>158</v>
      </c>
      <c r="B288" s="0" t="s">
        <v>327</v>
      </c>
      <c r="C288" s="0" t="n">
        <v>1</v>
      </c>
    </row>
    <row r="289" customFormat="false" ht="15" hidden="false" customHeight="false" outlineLevel="0" collapsed="false">
      <c r="A289" s="0" t="s">
        <v>158</v>
      </c>
      <c r="B289" s="0" t="s">
        <v>328</v>
      </c>
      <c r="C289" s="0" t="n">
        <v>1</v>
      </c>
    </row>
    <row r="290" customFormat="false" ht="15" hidden="false" customHeight="false" outlineLevel="0" collapsed="false">
      <c r="A290" s="0" t="s">
        <v>158</v>
      </c>
      <c r="B290" s="0" t="s">
        <v>329</v>
      </c>
      <c r="C290" s="0" t="n">
        <v>1</v>
      </c>
    </row>
    <row r="291" customFormat="false" ht="15" hidden="false" customHeight="false" outlineLevel="0" collapsed="false">
      <c r="A291" s="0" t="s">
        <v>158</v>
      </c>
      <c r="B291" s="0" t="s">
        <v>330</v>
      </c>
      <c r="C291" s="0" t="n">
        <v>1</v>
      </c>
    </row>
    <row r="292" customFormat="false" ht="15" hidden="false" customHeight="false" outlineLevel="0" collapsed="false">
      <c r="A292" s="0" t="s">
        <v>158</v>
      </c>
      <c r="B292" s="0" t="s">
        <v>402</v>
      </c>
      <c r="C292" s="0" t="n">
        <v>1</v>
      </c>
    </row>
    <row r="293" customFormat="false" ht="15" hidden="false" customHeight="false" outlineLevel="0" collapsed="false">
      <c r="A293" s="0" t="s">
        <v>158</v>
      </c>
      <c r="B293" s="0" t="s">
        <v>403</v>
      </c>
      <c r="C293" s="0" t="n">
        <v>1</v>
      </c>
    </row>
    <row r="294" customFormat="false" ht="15" hidden="false" customHeight="false" outlineLevel="0" collapsed="false">
      <c r="A294" s="0" t="s">
        <v>158</v>
      </c>
      <c r="B294" s="0" t="s">
        <v>404</v>
      </c>
      <c r="C294" s="0" t="n">
        <v>1</v>
      </c>
    </row>
    <row r="295" customFormat="false" ht="15" hidden="false" customHeight="false" outlineLevel="0" collapsed="false">
      <c r="A295" s="0" t="s">
        <v>158</v>
      </c>
      <c r="B295" s="0" t="s">
        <v>405</v>
      </c>
      <c r="C295" s="0" t="n">
        <v>1</v>
      </c>
    </row>
    <row r="296" customFormat="false" ht="15" hidden="false" customHeight="false" outlineLevel="0" collapsed="false">
      <c r="A296" s="0" t="s">
        <v>158</v>
      </c>
      <c r="B296" s="0" t="s">
        <v>336</v>
      </c>
      <c r="C296" s="0" t="n">
        <v>1</v>
      </c>
    </row>
    <row r="297" customFormat="false" ht="15" hidden="false" customHeight="false" outlineLevel="0" collapsed="false">
      <c r="A297" s="0" t="s">
        <v>158</v>
      </c>
      <c r="B297" s="0" t="s">
        <v>337</v>
      </c>
      <c r="C297" s="0" t="n">
        <v>1</v>
      </c>
    </row>
    <row r="298" customFormat="false" ht="15" hidden="false" customHeight="false" outlineLevel="0" collapsed="false">
      <c r="A298" s="0" t="s">
        <v>158</v>
      </c>
      <c r="B298" s="0" t="s">
        <v>338</v>
      </c>
      <c r="C298" s="0" t="n">
        <v>1</v>
      </c>
    </row>
    <row r="299" customFormat="false" ht="15" hidden="false" customHeight="false" outlineLevel="0" collapsed="false">
      <c r="A299" s="0" t="s">
        <v>158</v>
      </c>
      <c r="B299" s="0" t="s">
        <v>255</v>
      </c>
      <c r="C299" s="0" t="n">
        <v>1</v>
      </c>
    </row>
    <row r="300" customFormat="false" ht="15" hidden="false" customHeight="false" outlineLevel="0" collapsed="false">
      <c r="A300" s="0" t="s">
        <v>158</v>
      </c>
      <c r="B300" s="0" t="s">
        <v>339</v>
      </c>
      <c r="C300" s="0" t="n">
        <v>1</v>
      </c>
    </row>
    <row r="301" customFormat="false" ht="15" hidden="false" customHeight="false" outlineLevel="0" collapsed="false">
      <c r="A301" s="0" t="s">
        <v>158</v>
      </c>
      <c r="B301" s="0" t="s">
        <v>406</v>
      </c>
      <c r="C301" s="0" t="n">
        <v>1</v>
      </c>
    </row>
    <row r="302" customFormat="false" ht="15" hidden="false" customHeight="false" outlineLevel="0" collapsed="false">
      <c r="A302" s="0" t="s">
        <v>158</v>
      </c>
      <c r="B302" s="0" t="s">
        <v>340</v>
      </c>
      <c r="C302" s="0" t="n">
        <v>1</v>
      </c>
    </row>
    <row r="303" customFormat="false" ht="15" hidden="false" customHeight="false" outlineLevel="0" collapsed="false">
      <c r="A303" s="0" t="s">
        <v>158</v>
      </c>
      <c r="B303" s="0" t="s">
        <v>341</v>
      </c>
      <c r="C303" s="0" t="n">
        <v>1</v>
      </c>
    </row>
    <row r="304" customFormat="false" ht="15" hidden="false" customHeight="false" outlineLevel="0" collapsed="false">
      <c r="A304" s="0" t="s">
        <v>158</v>
      </c>
      <c r="B304" s="0" t="s">
        <v>407</v>
      </c>
      <c r="C304" s="0" t="n">
        <v>1</v>
      </c>
    </row>
    <row r="305" customFormat="false" ht="15" hidden="false" customHeight="false" outlineLevel="0" collapsed="false">
      <c r="A305" s="0" t="s">
        <v>158</v>
      </c>
      <c r="B305" s="0" t="s">
        <v>343</v>
      </c>
      <c r="C305" s="0" t="n">
        <v>1</v>
      </c>
    </row>
    <row r="306" customFormat="false" ht="15" hidden="false" customHeight="false" outlineLevel="0" collapsed="false">
      <c r="A306" s="0" t="s">
        <v>158</v>
      </c>
      <c r="B306" s="0" t="s">
        <v>408</v>
      </c>
      <c r="C306" s="0" t="n">
        <v>1</v>
      </c>
    </row>
    <row r="307" customFormat="false" ht="15" hidden="false" customHeight="false" outlineLevel="0" collapsed="false">
      <c r="A307" s="0" t="s">
        <v>158</v>
      </c>
      <c r="B307" s="0" t="s">
        <v>263</v>
      </c>
      <c r="C307" s="0" t="n">
        <v>1</v>
      </c>
    </row>
    <row r="308" customFormat="false" ht="15" hidden="false" customHeight="false" outlineLevel="0" collapsed="false">
      <c r="A308" s="0" t="s">
        <v>158</v>
      </c>
      <c r="B308" s="0" t="s">
        <v>409</v>
      </c>
      <c r="C308" s="0" t="n">
        <v>1</v>
      </c>
    </row>
    <row r="309" customFormat="false" ht="15" hidden="false" customHeight="false" outlineLevel="0" collapsed="false">
      <c r="A309" s="0" t="s">
        <v>158</v>
      </c>
      <c r="B309" s="0" t="s">
        <v>346</v>
      </c>
      <c r="C309" s="0" t="n">
        <v>1</v>
      </c>
    </row>
    <row r="310" customFormat="false" ht="15" hidden="false" customHeight="false" outlineLevel="0" collapsed="false">
      <c r="A310" s="0" t="s">
        <v>158</v>
      </c>
      <c r="B310" s="0" t="s">
        <v>410</v>
      </c>
      <c r="C310" s="0" t="n">
        <v>1</v>
      </c>
    </row>
    <row r="311" customFormat="false" ht="15" hidden="false" customHeight="false" outlineLevel="0" collapsed="false">
      <c r="A311" s="0" t="s">
        <v>158</v>
      </c>
      <c r="B311" s="0" t="s">
        <v>266</v>
      </c>
      <c r="C311" s="0" t="n">
        <v>1</v>
      </c>
    </row>
    <row r="312" customFormat="false" ht="15" hidden="false" customHeight="false" outlineLevel="0" collapsed="false">
      <c r="A312" s="0" t="s">
        <v>158</v>
      </c>
      <c r="B312" s="0" t="s">
        <v>387</v>
      </c>
      <c r="C312" s="0" t="n">
        <v>1</v>
      </c>
    </row>
    <row r="313" customFormat="false" ht="15" hidden="false" customHeight="false" outlineLevel="0" collapsed="false">
      <c r="A313" s="0" t="s">
        <v>158</v>
      </c>
      <c r="B313" s="0" t="s">
        <v>348</v>
      </c>
      <c r="C313" s="0" t="n">
        <v>1</v>
      </c>
    </row>
    <row r="314" customFormat="false" ht="15" hidden="false" customHeight="false" outlineLevel="0" collapsed="false">
      <c r="A314" s="0" t="s">
        <v>158</v>
      </c>
      <c r="B314" s="0" t="s">
        <v>269</v>
      </c>
      <c r="C314" s="0" t="n">
        <v>1</v>
      </c>
    </row>
    <row r="315" customFormat="false" ht="15" hidden="false" customHeight="false" outlineLevel="0" collapsed="false">
      <c r="A315" s="0" t="s">
        <v>158</v>
      </c>
      <c r="B315" s="0" t="s">
        <v>388</v>
      </c>
      <c r="C315" s="0" t="n">
        <v>1</v>
      </c>
    </row>
    <row r="316" customFormat="false" ht="15" hidden="false" customHeight="false" outlineLevel="0" collapsed="false">
      <c r="A316" s="0" t="s">
        <v>158</v>
      </c>
      <c r="B316" s="0" t="s">
        <v>271</v>
      </c>
      <c r="C316" s="0" t="n">
        <v>1</v>
      </c>
    </row>
    <row r="317" customFormat="false" ht="15" hidden="false" customHeight="false" outlineLevel="0" collapsed="false">
      <c r="A317" s="0" t="s">
        <v>158</v>
      </c>
      <c r="B317" s="0" t="s">
        <v>389</v>
      </c>
      <c r="C317" s="0" t="n">
        <v>1</v>
      </c>
    </row>
    <row r="318" customFormat="false" ht="15" hidden="false" customHeight="false" outlineLevel="0" collapsed="false">
      <c r="A318" s="0" t="s">
        <v>158</v>
      </c>
      <c r="B318" s="0" t="s">
        <v>411</v>
      </c>
      <c r="C318" s="0" t="n">
        <v>1</v>
      </c>
    </row>
    <row r="319" customFormat="false" ht="15" hidden="false" customHeight="false" outlineLevel="0" collapsed="false">
      <c r="A319" s="0" t="s">
        <v>158</v>
      </c>
      <c r="B319" s="0" t="s">
        <v>412</v>
      </c>
      <c r="C319" s="0" t="n">
        <v>1</v>
      </c>
    </row>
    <row r="320" customFormat="false" ht="15" hidden="false" customHeight="false" outlineLevel="0" collapsed="false">
      <c r="A320" s="0" t="s">
        <v>158</v>
      </c>
      <c r="B320" s="0" t="s">
        <v>275</v>
      </c>
      <c r="C320" s="0" t="n">
        <v>1</v>
      </c>
    </row>
    <row r="321" customFormat="false" ht="15" hidden="false" customHeight="false" outlineLevel="0" collapsed="false">
      <c r="A321" s="0" t="s">
        <v>158</v>
      </c>
      <c r="B321" s="0" t="s">
        <v>413</v>
      </c>
      <c r="C321" s="0" t="n">
        <v>1</v>
      </c>
    </row>
    <row r="322" customFormat="false" ht="15" hidden="false" customHeight="false" outlineLevel="0" collapsed="false">
      <c r="A322" s="0" t="s">
        <v>158</v>
      </c>
      <c r="B322" s="0" t="s">
        <v>277</v>
      </c>
      <c r="C322" s="0" t="n">
        <v>1</v>
      </c>
    </row>
    <row r="323" customFormat="false" ht="15" hidden="false" customHeight="false" outlineLevel="0" collapsed="false">
      <c r="A323" s="0" t="s">
        <v>158</v>
      </c>
      <c r="B323" s="0" t="s">
        <v>278</v>
      </c>
      <c r="C323" s="0" t="n">
        <v>1</v>
      </c>
    </row>
    <row r="324" customFormat="false" ht="15" hidden="false" customHeight="false" outlineLevel="0" collapsed="false">
      <c r="A324" s="0" t="s">
        <v>158</v>
      </c>
      <c r="B324" s="0" t="s">
        <v>279</v>
      </c>
      <c r="C324" s="0" t="n">
        <v>1</v>
      </c>
    </row>
    <row r="325" customFormat="false" ht="15" hidden="false" customHeight="false" outlineLevel="0" collapsed="false">
      <c r="A325" s="0" t="s">
        <v>158</v>
      </c>
      <c r="B325" s="0" t="s">
        <v>280</v>
      </c>
      <c r="C325" s="0" t="n">
        <v>1</v>
      </c>
    </row>
    <row r="326" customFormat="false" ht="15" hidden="false" customHeight="false" outlineLevel="0" collapsed="false">
      <c r="A326" s="0" t="s">
        <v>158</v>
      </c>
      <c r="B326" s="0" t="s">
        <v>281</v>
      </c>
      <c r="C326" s="0" t="n">
        <v>1</v>
      </c>
    </row>
    <row r="327" customFormat="false" ht="15" hidden="false" customHeight="false" outlineLevel="0" collapsed="false">
      <c r="A327" s="0" t="s">
        <v>158</v>
      </c>
      <c r="B327" s="0" t="s">
        <v>352</v>
      </c>
      <c r="C327" s="0" t="n">
        <v>1</v>
      </c>
    </row>
    <row r="328" customFormat="false" ht="15" hidden="false" customHeight="false" outlineLevel="0" collapsed="false">
      <c r="A328" s="0" t="s">
        <v>158</v>
      </c>
      <c r="B328" s="0" t="s">
        <v>414</v>
      </c>
      <c r="C328" s="0" t="n">
        <v>1</v>
      </c>
    </row>
    <row r="329" customFormat="false" ht="15" hidden="false" customHeight="false" outlineLevel="0" collapsed="false">
      <c r="A329" s="0" t="s">
        <v>158</v>
      </c>
      <c r="B329" s="0" t="s">
        <v>415</v>
      </c>
      <c r="C329" s="0" t="n">
        <v>1</v>
      </c>
    </row>
    <row r="330" customFormat="false" ht="15" hidden="false" customHeight="false" outlineLevel="0" collapsed="false">
      <c r="A330" s="0" t="s">
        <v>158</v>
      </c>
      <c r="B330" s="0" t="s">
        <v>353</v>
      </c>
      <c r="C330" s="0" t="n">
        <v>1</v>
      </c>
    </row>
    <row r="331" customFormat="false" ht="15" hidden="false" customHeight="false" outlineLevel="0" collapsed="false">
      <c r="A331" s="0" t="s">
        <v>158</v>
      </c>
      <c r="B331" s="0" t="s">
        <v>416</v>
      </c>
      <c r="C331" s="0" t="n">
        <v>1</v>
      </c>
    </row>
    <row r="332" customFormat="false" ht="15" hidden="false" customHeight="false" outlineLevel="0" collapsed="false">
      <c r="A332" s="0" t="s">
        <v>158</v>
      </c>
      <c r="B332" s="0" t="s">
        <v>355</v>
      </c>
      <c r="C332" s="0" t="n">
        <v>1</v>
      </c>
    </row>
    <row r="333" customFormat="false" ht="15" hidden="false" customHeight="false" outlineLevel="0" collapsed="false">
      <c r="A333" s="0" t="s">
        <v>158</v>
      </c>
      <c r="B333" s="0" t="s">
        <v>289</v>
      </c>
      <c r="C333" s="0" t="n">
        <v>1</v>
      </c>
    </row>
    <row r="334" customFormat="false" ht="15" hidden="false" customHeight="false" outlineLevel="0" collapsed="false">
      <c r="A334" s="0" t="s">
        <v>158</v>
      </c>
      <c r="B334" s="0" t="s">
        <v>357</v>
      </c>
      <c r="C334" s="0" t="n">
        <v>1</v>
      </c>
    </row>
    <row r="335" customFormat="false" ht="15" hidden="false" customHeight="false" outlineLevel="0" collapsed="false">
      <c r="A335" s="0" t="s">
        <v>158</v>
      </c>
      <c r="B335" s="0" t="s">
        <v>417</v>
      </c>
      <c r="C335" s="0" t="n">
        <v>1</v>
      </c>
    </row>
    <row r="336" customFormat="false" ht="15" hidden="false" customHeight="false" outlineLevel="0" collapsed="false">
      <c r="A336" s="0" t="s">
        <v>158</v>
      </c>
      <c r="B336" s="0" t="s">
        <v>292</v>
      </c>
      <c r="C336" s="0" t="n">
        <v>1</v>
      </c>
    </row>
    <row r="337" customFormat="false" ht="15" hidden="false" customHeight="false" outlineLevel="0" collapsed="false">
      <c r="A337" s="0" t="s">
        <v>158</v>
      </c>
      <c r="B337" s="0" t="s">
        <v>293</v>
      </c>
      <c r="C337" s="0" t="n">
        <v>1</v>
      </c>
    </row>
    <row r="338" customFormat="false" ht="15" hidden="false" customHeight="false" outlineLevel="0" collapsed="false">
      <c r="A338" s="0" t="s">
        <v>158</v>
      </c>
      <c r="B338" s="0" t="s">
        <v>294</v>
      </c>
      <c r="C338" s="0" t="n">
        <v>1</v>
      </c>
    </row>
    <row r="339" customFormat="false" ht="15" hidden="false" customHeight="false" outlineLevel="0" collapsed="false">
      <c r="A339" s="0" t="s">
        <v>158</v>
      </c>
      <c r="B339" s="0" t="s">
        <v>295</v>
      </c>
      <c r="C339" s="0" t="n">
        <v>1</v>
      </c>
    </row>
    <row r="340" customFormat="false" ht="15" hidden="false" customHeight="false" outlineLevel="0" collapsed="false">
      <c r="A340" s="0" t="s">
        <v>158</v>
      </c>
      <c r="B340" s="0" t="s">
        <v>296</v>
      </c>
      <c r="C340" s="0" t="n">
        <v>1</v>
      </c>
    </row>
    <row r="341" customFormat="false" ht="15" hidden="false" customHeight="false" outlineLevel="0" collapsed="false">
      <c r="A341" s="0" t="s">
        <v>158</v>
      </c>
      <c r="B341" s="0" t="s">
        <v>297</v>
      </c>
      <c r="C341" s="0" t="n">
        <v>1</v>
      </c>
    </row>
    <row r="342" customFormat="false" ht="15" hidden="false" customHeight="false" outlineLevel="0" collapsed="false">
      <c r="A342" s="0" t="s">
        <v>158</v>
      </c>
      <c r="B342" s="0" t="s">
        <v>358</v>
      </c>
      <c r="C342" s="0" t="n">
        <v>1</v>
      </c>
    </row>
    <row r="343" customFormat="false" ht="15" hidden="false" customHeight="false" outlineLevel="0" collapsed="false">
      <c r="A343" s="0" t="s">
        <v>158</v>
      </c>
      <c r="B343" s="0" t="s">
        <v>298</v>
      </c>
      <c r="C343" s="0" t="n">
        <v>1</v>
      </c>
    </row>
    <row r="344" customFormat="false" ht="15" hidden="false" customHeight="false" outlineLevel="0" collapsed="false">
      <c r="A344" s="0" t="s">
        <v>158</v>
      </c>
      <c r="B344" s="0" t="s">
        <v>299</v>
      </c>
      <c r="C344" s="0" t="n">
        <v>1</v>
      </c>
    </row>
    <row r="345" customFormat="false" ht="15" hidden="false" customHeight="false" outlineLevel="0" collapsed="false">
      <c r="A345" s="0" t="s">
        <v>158</v>
      </c>
      <c r="B345" s="0" t="s">
        <v>300</v>
      </c>
      <c r="C345" s="0" t="n">
        <v>1</v>
      </c>
    </row>
    <row r="346" customFormat="false" ht="15" hidden="false" customHeight="false" outlineLevel="0" collapsed="false">
      <c r="A346" s="0" t="s">
        <v>158</v>
      </c>
      <c r="B346" s="0" t="s">
        <v>302</v>
      </c>
      <c r="C346" s="0" t="n">
        <v>1</v>
      </c>
    </row>
    <row r="347" customFormat="false" ht="15" hidden="false" customHeight="false" outlineLevel="0" collapsed="false">
      <c r="A347" s="0" t="s">
        <v>158</v>
      </c>
      <c r="B347" s="0" t="s">
        <v>360</v>
      </c>
      <c r="C347" s="0" t="n">
        <v>1</v>
      </c>
    </row>
    <row r="348" customFormat="false" ht="15" hidden="false" customHeight="false" outlineLevel="0" collapsed="false">
      <c r="A348" s="0" t="s">
        <v>158</v>
      </c>
      <c r="B348" s="0" t="s">
        <v>393</v>
      </c>
      <c r="C348" s="0" t="n">
        <v>1</v>
      </c>
    </row>
    <row r="349" customFormat="false" ht="15" hidden="false" customHeight="false" outlineLevel="0" collapsed="false">
      <c r="A349" s="0" t="s">
        <v>158</v>
      </c>
      <c r="B349" s="0" t="s">
        <v>305</v>
      </c>
      <c r="C349" s="0" t="n">
        <v>1</v>
      </c>
    </row>
    <row r="350" customFormat="false" ht="15" hidden="false" customHeight="false" outlineLevel="0" collapsed="false">
      <c r="A350" s="0" t="s">
        <v>158</v>
      </c>
      <c r="B350" s="0" t="s">
        <v>362</v>
      </c>
      <c r="C350" s="0" t="n">
        <v>1</v>
      </c>
    </row>
    <row r="351" customFormat="false" ht="15" hidden="false" customHeight="false" outlineLevel="0" collapsed="false">
      <c r="A351" s="0" t="s">
        <v>158</v>
      </c>
      <c r="B351" s="0" t="s">
        <v>307</v>
      </c>
      <c r="C351" s="0" t="n">
        <v>1</v>
      </c>
    </row>
    <row r="352" customFormat="false" ht="15" hidden="false" customHeight="false" outlineLevel="0" collapsed="false">
      <c r="A352" s="0" t="s">
        <v>159</v>
      </c>
      <c r="B352" s="0" t="s">
        <v>220</v>
      </c>
      <c r="C352" s="0" t="n">
        <v>1</v>
      </c>
    </row>
    <row r="353" customFormat="false" ht="15" hidden="false" customHeight="false" outlineLevel="0" collapsed="false">
      <c r="A353" s="0" t="s">
        <v>159</v>
      </c>
      <c r="B353" s="0" t="s">
        <v>418</v>
      </c>
      <c r="C353" s="0" t="n">
        <v>1</v>
      </c>
    </row>
    <row r="354" customFormat="false" ht="15" hidden="false" customHeight="false" outlineLevel="0" collapsed="false">
      <c r="A354" s="0" t="s">
        <v>159</v>
      </c>
      <c r="B354" s="0" t="s">
        <v>419</v>
      </c>
      <c r="C354" s="0" t="n">
        <v>1</v>
      </c>
    </row>
    <row r="355" customFormat="false" ht="15" hidden="false" customHeight="false" outlineLevel="0" collapsed="false">
      <c r="A355" s="0" t="s">
        <v>159</v>
      </c>
      <c r="B355" s="0" t="s">
        <v>311</v>
      </c>
      <c r="C355" s="0" t="n">
        <v>1</v>
      </c>
    </row>
    <row r="356" customFormat="false" ht="15" hidden="false" customHeight="false" outlineLevel="0" collapsed="false">
      <c r="A356" s="0" t="s">
        <v>159</v>
      </c>
      <c r="B356" s="0" t="s">
        <v>312</v>
      </c>
      <c r="C356" s="0" t="n">
        <v>1</v>
      </c>
    </row>
    <row r="357" customFormat="false" ht="15" hidden="false" customHeight="false" outlineLevel="0" collapsed="false">
      <c r="A357" s="0" t="s">
        <v>159</v>
      </c>
      <c r="B357" s="0" t="s">
        <v>420</v>
      </c>
      <c r="C357" s="0" t="n">
        <v>1</v>
      </c>
    </row>
    <row r="358" customFormat="false" ht="15" hidden="false" customHeight="false" outlineLevel="0" collapsed="false">
      <c r="A358" s="0" t="s">
        <v>159</v>
      </c>
      <c r="B358" s="0" t="s">
        <v>226</v>
      </c>
      <c r="C358" s="0" t="n">
        <v>1</v>
      </c>
    </row>
    <row r="359" customFormat="false" ht="15" hidden="false" customHeight="false" outlineLevel="0" collapsed="false">
      <c r="A359" s="0" t="s">
        <v>159</v>
      </c>
      <c r="B359" s="0" t="s">
        <v>368</v>
      </c>
      <c r="C359" s="0" t="n">
        <v>1</v>
      </c>
    </row>
    <row r="360" customFormat="false" ht="15" hidden="false" customHeight="false" outlineLevel="0" collapsed="false">
      <c r="A360" s="0" t="s">
        <v>159</v>
      </c>
      <c r="B360" s="0" t="s">
        <v>228</v>
      </c>
      <c r="C360" s="0" t="n">
        <v>1</v>
      </c>
    </row>
    <row r="361" customFormat="false" ht="15" hidden="false" customHeight="false" outlineLevel="0" collapsed="false">
      <c r="A361" s="0" t="s">
        <v>159</v>
      </c>
      <c r="B361" s="0" t="s">
        <v>229</v>
      </c>
      <c r="C361" s="0" t="n">
        <v>1</v>
      </c>
    </row>
    <row r="362" customFormat="false" ht="15" hidden="false" customHeight="false" outlineLevel="0" collapsed="false">
      <c r="A362" s="0" t="s">
        <v>159</v>
      </c>
      <c r="B362" s="0" t="s">
        <v>230</v>
      </c>
      <c r="C362" s="0" t="n">
        <v>1</v>
      </c>
    </row>
    <row r="363" customFormat="false" ht="15" hidden="false" customHeight="false" outlineLevel="0" collapsed="false">
      <c r="A363" s="0" t="s">
        <v>159</v>
      </c>
      <c r="B363" s="0" t="s">
        <v>318</v>
      </c>
      <c r="C363" s="0" t="n">
        <v>1</v>
      </c>
    </row>
    <row r="364" customFormat="false" ht="15" hidden="false" customHeight="false" outlineLevel="0" collapsed="false">
      <c r="A364" s="0" t="s">
        <v>159</v>
      </c>
      <c r="B364" s="0" t="s">
        <v>421</v>
      </c>
      <c r="C364" s="0" t="n">
        <v>1</v>
      </c>
    </row>
    <row r="365" customFormat="false" ht="15" hidden="false" customHeight="false" outlineLevel="0" collapsed="false">
      <c r="A365" s="0" t="s">
        <v>159</v>
      </c>
      <c r="B365" s="0" t="s">
        <v>233</v>
      </c>
      <c r="C365" s="0" t="n">
        <v>1</v>
      </c>
    </row>
    <row r="366" customFormat="false" ht="15" hidden="false" customHeight="false" outlineLevel="0" collapsed="false">
      <c r="A366" s="0" t="s">
        <v>159</v>
      </c>
      <c r="B366" s="0" t="s">
        <v>234</v>
      </c>
      <c r="C366" s="0" t="n">
        <v>1</v>
      </c>
    </row>
    <row r="367" customFormat="false" ht="15" hidden="false" customHeight="false" outlineLevel="0" collapsed="false">
      <c r="A367" s="0" t="s">
        <v>159</v>
      </c>
      <c r="B367" s="0" t="s">
        <v>373</v>
      </c>
      <c r="C367" s="0" t="n">
        <v>1</v>
      </c>
    </row>
    <row r="368" customFormat="false" ht="15" hidden="false" customHeight="false" outlineLevel="0" collapsed="false">
      <c r="A368" s="0" t="s">
        <v>159</v>
      </c>
      <c r="B368" s="0" t="s">
        <v>236</v>
      </c>
      <c r="C368" s="0" t="n">
        <v>1</v>
      </c>
    </row>
    <row r="369" customFormat="false" ht="15" hidden="false" customHeight="false" outlineLevel="0" collapsed="false">
      <c r="A369" s="0" t="s">
        <v>159</v>
      </c>
      <c r="B369" s="0" t="s">
        <v>374</v>
      </c>
      <c r="C369" s="0" t="n">
        <v>1</v>
      </c>
    </row>
    <row r="370" customFormat="false" ht="15" hidden="false" customHeight="false" outlineLevel="0" collapsed="false">
      <c r="A370" s="0" t="s">
        <v>159</v>
      </c>
      <c r="B370" s="0" t="s">
        <v>375</v>
      </c>
      <c r="C370" s="0" t="n">
        <v>1</v>
      </c>
    </row>
    <row r="371" customFormat="false" ht="15" hidden="false" customHeight="false" outlineLevel="0" collapsed="false">
      <c r="A371" s="0" t="s">
        <v>159</v>
      </c>
      <c r="B371" s="0" t="s">
        <v>239</v>
      </c>
      <c r="C371" s="0" t="n">
        <v>1</v>
      </c>
    </row>
    <row r="372" customFormat="false" ht="15" hidden="false" customHeight="false" outlineLevel="0" collapsed="false">
      <c r="A372" s="0" t="s">
        <v>159</v>
      </c>
      <c r="B372" s="0" t="s">
        <v>324</v>
      </c>
      <c r="C372" s="0" t="n">
        <v>1</v>
      </c>
    </row>
    <row r="373" customFormat="false" ht="15" hidden="false" customHeight="false" outlineLevel="0" collapsed="false">
      <c r="A373" s="0" t="s">
        <v>159</v>
      </c>
      <c r="B373" s="0" t="s">
        <v>422</v>
      </c>
      <c r="C373" s="0" t="n">
        <v>1</v>
      </c>
    </row>
    <row r="374" customFormat="false" ht="15" hidden="false" customHeight="false" outlineLevel="0" collapsed="false">
      <c r="A374" s="0" t="s">
        <v>159</v>
      </c>
      <c r="B374" s="0" t="s">
        <v>243</v>
      </c>
      <c r="C374" s="0" t="n">
        <v>1</v>
      </c>
    </row>
    <row r="375" customFormat="false" ht="15" hidden="false" customHeight="false" outlineLevel="0" collapsed="false">
      <c r="A375" s="0" t="s">
        <v>159</v>
      </c>
      <c r="B375" s="0" t="s">
        <v>244</v>
      </c>
      <c r="C375" s="0" t="n">
        <v>1</v>
      </c>
    </row>
    <row r="376" customFormat="false" ht="15" hidden="false" customHeight="false" outlineLevel="0" collapsed="false">
      <c r="A376" s="0" t="s">
        <v>159</v>
      </c>
      <c r="B376" s="0" t="s">
        <v>245</v>
      </c>
      <c r="C376" s="0" t="n">
        <v>1</v>
      </c>
    </row>
    <row r="377" customFormat="false" ht="15" hidden="false" customHeight="false" outlineLevel="0" collapsed="false">
      <c r="A377" s="0" t="s">
        <v>159</v>
      </c>
      <c r="B377" s="0" t="s">
        <v>246</v>
      </c>
      <c r="C377" s="0" t="n">
        <v>1</v>
      </c>
    </row>
    <row r="378" customFormat="false" ht="15" hidden="false" customHeight="false" outlineLevel="0" collapsed="false">
      <c r="A378" s="0" t="s">
        <v>159</v>
      </c>
      <c r="B378" s="0" t="s">
        <v>423</v>
      </c>
      <c r="C378" s="0" t="n">
        <v>1</v>
      </c>
    </row>
    <row r="379" customFormat="false" ht="15" hidden="false" customHeight="false" outlineLevel="0" collapsed="false">
      <c r="A379" s="0" t="s">
        <v>159</v>
      </c>
      <c r="B379" s="0" t="s">
        <v>332</v>
      </c>
      <c r="C379" s="0" t="n">
        <v>1</v>
      </c>
    </row>
    <row r="380" customFormat="false" ht="15" hidden="false" customHeight="false" outlineLevel="0" collapsed="false">
      <c r="A380" s="0" t="s">
        <v>159</v>
      </c>
      <c r="B380" s="0" t="s">
        <v>333</v>
      </c>
      <c r="C380" s="0" t="n">
        <v>1</v>
      </c>
    </row>
    <row r="381" customFormat="false" ht="15" hidden="false" customHeight="false" outlineLevel="0" collapsed="false">
      <c r="A381" s="0" t="s">
        <v>159</v>
      </c>
      <c r="B381" s="0" t="s">
        <v>334</v>
      </c>
      <c r="C381" s="0" t="n">
        <v>1</v>
      </c>
    </row>
    <row r="382" customFormat="false" ht="15" hidden="false" customHeight="false" outlineLevel="0" collapsed="false">
      <c r="A382" s="0" t="s">
        <v>159</v>
      </c>
      <c r="B382" s="0" t="s">
        <v>251</v>
      </c>
      <c r="C382" s="0" t="n">
        <v>1</v>
      </c>
    </row>
    <row r="383" customFormat="false" ht="15" hidden="false" customHeight="false" outlineLevel="0" collapsed="false">
      <c r="A383" s="0" t="s">
        <v>159</v>
      </c>
      <c r="B383" s="0" t="s">
        <v>252</v>
      </c>
      <c r="C383" s="0" t="n">
        <v>1</v>
      </c>
    </row>
    <row r="384" customFormat="false" ht="15" hidden="false" customHeight="false" outlineLevel="0" collapsed="false">
      <c r="A384" s="0" t="s">
        <v>159</v>
      </c>
      <c r="B384" s="0" t="s">
        <v>253</v>
      </c>
      <c r="C384" s="0" t="n">
        <v>1</v>
      </c>
    </row>
    <row r="385" customFormat="false" ht="15" hidden="false" customHeight="false" outlineLevel="0" collapsed="false">
      <c r="A385" s="0" t="s">
        <v>159</v>
      </c>
      <c r="B385" s="0" t="s">
        <v>254</v>
      </c>
      <c r="C385" s="0" t="n">
        <v>1</v>
      </c>
    </row>
    <row r="386" customFormat="false" ht="15" hidden="false" customHeight="false" outlineLevel="0" collapsed="false">
      <c r="A386" s="0" t="s">
        <v>159</v>
      </c>
      <c r="B386" s="0" t="s">
        <v>255</v>
      </c>
      <c r="C386" s="0" t="n">
        <v>1</v>
      </c>
    </row>
    <row r="387" customFormat="false" ht="15" hidden="false" customHeight="false" outlineLevel="0" collapsed="false">
      <c r="A387" s="0" t="s">
        <v>159</v>
      </c>
      <c r="B387" s="0" t="s">
        <v>256</v>
      </c>
      <c r="C387" s="0" t="n">
        <v>1</v>
      </c>
    </row>
    <row r="388" customFormat="false" ht="15" hidden="false" customHeight="false" outlineLevel="0" collapsed="false">
      <c r="A388" s="0" t="s">
        <v>159</v>
      </c>
      <c r="B388" s="0" t="s">
        <v>341</v>
      </c>
      <c r="C388" s="0" t="n">
        <v>1</v>
      </c>
    </row>
    <row r="389" customFormat="false" ht="15" hidden="false" customHeight="false" outlineLevel="0" collapsed="false">
      <c r="A389" s="0" t="s">
        <v>159</v>
      </c>
      <c r="B389" s="0" t="s">
        <v>342</v>
      </c>
      <c r="C389" s="0" t="n">
        <v>1</v>
      </c>
    </row>
    <row r="390" customFormat="false" ht="15" hidden="false" customHeight="false" outlineLevel="0" collapsed="false">
      <c r="A390" s="0" t="s">
        <v>159</v>
      </c>
      <c r="B390" s="0" t="s">
        <v>343</v>
      </c>
      <c r="C390" s="0" t="n">
        <v>1</v>
      </c>
    </row>
    <row r="391" customFormat="false" ht="15" hidden="false" customHeight="false" outlineLevel="0" collapsed="false">
      <c r="A391" s="0" t="s">
        <v>159</v>
      </c>
      <c r="B391" s="0" t="s">
        <v>262</v>
      </c>
      <c r="C391" s="0" t="n">
        <v>1</v>
      </c>
    </row>
    <row r="392" customFormat="false" ht="15" hidden="false" customHeight="false" outlineLevel="0" collapsed="false">
      <c r="A392" s="0" t="s">
        <v>159</v>
      </c>
      <c r="B392" s="0" t="s">
        <v>263</v>
      </c>
      <c r="C392" s="0" t="n">
        <v>1</v>
      </c>
    </row>
    <row r="393" customFormat="false" ht="15" hidden="false" customHeight="false" outlineLevel="0" collapsed="false">
      <c r="A393" s="0" t="s">
        <v>159</v>
      </c>
      <c r="B393" s="0" t="s">
        <v>345</v>
      </c>
      <c r="C393" s="0" t="n">
        <v>1</v>
      </c>
    </row>
    <row r="394" customFormat="false" ht="15" hidden="false" customHeight="false" outlineLevel="0" collapsed="false">
      <c r="A394" s="0" t="s">
        <v>159</v>
      </c>
      <c r="B394" s="0" t="s">
        <v>265</v>
      </c>
      <c r="C394" s="0" t="n">
        <v>1</v>
      </c>
    </row>
    <row r="395" customFormat="false" ht="15" hidden="false" customHeight="false" outlineLevel="0" collapsed="false">
      <c r="A395" s="0" t="s">
        <v>159</v>
      </c>
      <c r="B395" s="0" t="s">
        <v>346</v>
      </c>
      <c r="C395" s="0" t="n">
        <v>1</v>
      </c>
    </row>
    <row r="396" customFormat="false" ht="15" hidden="false" customHeight="false" outlineLevel="0" collapsed="false">
      <c r="A396" s="0" t="s">
        <v>159</v>
      </c>
      <c r="B396" s="0" t="s">
        <v>266</v>
      </c>
      <c r="C396" s="0" t="n">
        <v>1</v>
      </c>
    </row>
    <row r="397" customFormat="false" ht="15" hidden="false" customHeight="false" outlineLevel="0" collapsed="false">
      <c r="A397" s="0" t="s">
        <v>159</v>
      </c>
      <c r="B397" s="0" t="s">
        <v>267</v>
      </c>
      <c r="C397" s="0" t="n">
        <v>1</v>
      </c>
    </row>
    <row r="398" customFormat="false" ht="15" hidden="false" customHeight="false" outlineLevel="0" collapsed="false">
      <c r="A398" s="0" t="s">
        <v>159</v>
      </c>
      <c r="B398" s="0" t="s">
        <v>348</v>
      </c>
      <c r="C398" s="0" t="n">
        <v>1</v>
      </c>
    </row>
    <row r="399" customFormat="false" ht="15" hidden="false" customHeight="false" outlineLevel="0" collapsed="false">
      <c r="A399" s="0" t="s">
        <v>159</v>
      </c>
      <c r="B399" s="0" t="s">
        <v>269</v>
      </c>
      <c r="C399" s="0" t="n">
        <v>1</v>
      </c>
    </row>
    <row r="400" customFormat="false" ht="15" hidden="false" customHeight="false" outlineLevel="0" collapsed="false">
      <c r="A400" s="0" t="s">
        <v>159</v>
      </c>
      <c r="B400" s="0" t="s">
        <v>270</v>
      </c>
      <c r="C400" s="0" t="n">
        <v>1</v>
      </c>
    </row>
    <row r="401" customFormat="false" ht="15" hidden="false" customHeight="false" outlineLevel="0" collapsed="false">
      <c r="A401" s="0" t="s">
        <v>159</v>
      </c>
      <c r="B401" s="0" t="s">
        <v>424</v>
      </c>
      <c r="C401" s="0" t="n">
        <v>1</v>
      </c>
    </row>
    <row r="402" customFormat="false" ht="15" hidden="false" customHeight="false" outlineLevel="0" collapsed="false">
      <c r="A402" s="0" t="s">
        <v>159</v>
      </c>
      <c r="B402" s="0" t="s">
        <v>389</v>
      </c>
      <c r="C402" s="0" t="n">
        <v>1</v>
      </c>
    </row>
    <row r="403" customFormat="false" ht="15" hidden="false" customHeight="false" outlineLevel="0" collapsed="false">
      <c r="A403" s="0" t="s">
        <v>159</v>
      </c>
      <c r="B403" s="0" t="s">
        <v>411</v>
      </c>
      <c r="C403" s="0" t="n">
        <v>1</v>
      </c>
    </row>
    <row r="404" customFormat="false" ht="15" hidden="false" customHeight="false" outlineLevel="0" collapsed="false">
      <c r="A404" s="0" t="s">
        <v>159</v>
      </c>
      <c r="B404" s="0" t="s">
        <v>412</v>
      </c>
      <c r="C404" s="0" t="n">
        <v>1</v>
      </c>
    </row>
    <row r="405" customFormat="false" ht="15" hidden="false" customHeight="false" outlineLevel="0" collapsed="false">
      <c r="A405" s="0" t="s">
        <v>159</v>
      </c>
      <c r="B405" s="0" t="s">
        <v>275</v>
      </c>
      <c r="C405" s="0" t="n">
        <v>1</v>
      </c>
    </row>
    <row r="406" customFormat="false" ht="15" hidden="false" customHeight="false" outlineLevel="0" collapsed="false">
      <c r="A406" s="0" t="s">
        <v>159</v>
      </c>
      <c r="B406" s="0" t="s">
        <v>276</v>
      </c>
      <c r="C406" s="0" t="n">
        <v>1</v>
      </c>
    </row>
    <row r="407" customFormat="false" ht="15" hidden="false" customHeight="false" outlineLevel="0" collapsed="false">
      <c r="A407" s="0" t="s">
        <v>159</v>
      </c>
      <c r="B407" s="0" t="s">
        <v>277</v>
      </c>
      <c r="C407" s="0" t="n">
        <v>1</v>
      </c>
    </row>
    <row r="408" customFormat="false" ht="15" hidden="false" customHeight="false" outlineLevel="0" collapsed="false">
      <c r="A408" s="0" t="s">
        <v>159</v>
      </c>
      <c r="B408" s="0" t="s">
        <v>278</v>
      </c>
      <c r="C408" s="0" t="n">
        <v>1</v>
      </c>
    </row>
    <row r="409" customFormat="false" ht="15" hidden="false" customHeight="false" outlineLevel="0" collapsed="false">
      <c r="A409" s="0" t="s">
        <v>159</v>
      </c>
      <c r="B409" s="0" t="s">
        <v>279</v>
      </c>
      <c r="C409" s="0" t="n">
        <v>1</v>
      </c>
    </row>
    <row r="410" customFormat="false" ht="15" hidden="false" customHeight="false" outlineLevel="0" collapsed="false">
      <c r="A410" s="0" t="s">
        <v>159</v>
      </c>
      <c r="B410" s="0" t="s">
        <v>280</v>
      </c>
      <c r="C410" s="0" t="n">
        <v>1</v>
      </c>
    </row>
    <row r="411" customFormat="false" ht="15" hidden="false" customHeight="false" outlineLevel="0" collapsed="false">
      <c r="A411" s="0" t="s">
        <v>159</v>
      </c>
      <c r="B411" s="0" t="s">
        <v>281</v>
      </c>
      <c r="C411" s="0" t="n">
        <v>1</v>
      </c>
    </row>
    <row r="412" customFormat="false" ht="15" hidden="false" customHeight="false" outlineLevel="0" collapsed="false">
      <c r="A412" s="0" t="s">
        <v>159</v>
      </c>
      <c r="B412" s="0" t="s">
        <v>352</v>
      </c>
      <c r="C412" s="0" t="n">
        <v>1</v>
      </c>
    </row>
    <row r="413" customFormat="false" ht="15" hidden="false" customHeight="false" outlineLevel="0" collapsed="false">
      <c r="A413" s="0" t="s">
        <v>159</v>
      </c>
      <c r="B413" s="0" t="s">
        <v>283</v>
      </c>
      <c r="C413" s="0" t="n">
        <v>1</v>
      </c>
    </row>
    <row r="414" customFormat="false" ht="15" hidden="false" customHeight="false" outlineLevel="0" collapsed="false">
      <c r="A414" s="0" t="s">
        <v>159</v>
      </c>
      <c r="B414" s="0" t="s">
        <v>284</v>
      </c>
      <c r="C414" s="0" t="n">
        <v>1</v>
      </c>
    </row>
    <row r="415" customFormat="false" ht="15" hidden="false" customHeight="false" outlineLevel="0" collapsed="false">
      <c r="A415" s="0" t="s">
        <v>159</v>
      </c>
      <c r="B415" s="0" t="s">
        <v>285</v>
      </c>
      <c r="C415" s="0" t="n">
        <v>1</v>
      </c>
    </row>
    <row r="416" customFormat="false" ht="15" hidden="false" customHeight="false" outlineLevel="0" collapsed="false">
      <c r="A416" s="0" t="s">
        <v>159</v>
      </c>
      <c r="B416" s="0" t="s">
        <v>353</v>
      </c>
      <c r="C416" s="0" t="n">
        <v>1</v>
      </c>
    </row>
    <row r="417" customFormat="false" ht="15" hidden="false" customHeight="false" outlineLevel="0" collapsed="false">
      <c r="A417" s="0" t="s">
        <v>159</v>
      </c>
      <c r="B417" s="0" t="s">
        <v>354</v>
      </c>
      <c r="C417" s="0" t="n">
        <v>1</v>
      </c>
    </row>
    <row r="418" customFormat="false" ht="15" hidden="false" customHeight="false" outlineLevel="0" collapsed="false">
      <c r="A418" s="0" t="s">
        <v>159</v>
      </c>
      <c r="B418" s="0" t="s">
        <v>355</v>
      </c>
      <c r="C418" s="0" t="n">
        <v>1</v>
      </c>
    </row>
    <row r="419" customFormat="false" ht="15" hidden="false" customHeight="false" outlineLevel="0" collapsed="false">
      <c r="A419" s="0" t="s">
        <v>159</v>
      </c>
      <c r="B419" s="0" t="s">
        <v>356</v>
      </c>
      <c r="C419" s="0" t="n">
        <v>1</v>
      </c>
    </row>
    <row r="420" customFormat="false" ht="15" hidden="false" customHeight="false" outlineLevel="0" collapsed="false">
      <c r="A420" s="0" t="s">
        <v>159</v>
      </c>
      <c r="B420" s="0" t="s">
        <v>357</v>
      </c>
      <c r="C420" s="0" t="n">
        <v>1</v>
      </c>
    </row>
    <row r="421" customFormat="false" ht="15" hidden="false" customHeight="false" outlineLevel="0" collapsed="false">
      <c r="A421" s="0" t="s">
        <v>159</v>
      </c>
      <c r="B421" s="0" t="s">
        <v>291</v>
      </c>
      <c r="C421" s="0" t="n">
        <v>1</v>
      </c>
    </row>
    <row r="422" customFormat="false" ht="15" hidden="false" customHeight="false" outlineLevel="0" collapsed="false">
      <c r="A422" s="0" t="s">
        <v>159</v>
      </c>
      <c r="B422" s="0" t="s">
        <v>292</v>
      </c>
      <c r="C422" s="0" t="n">
        <v>1</v>
      </c>
    </row>
    <row r="423" customFormat="false" ht="15" hidden="false" customHeight="false" outlineLevel="0" collapsed="false">
      <c r="A423" s="0" t="s">
        <v>159</v>
      </c>
      <c r="B423" s="0" t="s">
        <v>293</v>
      </c>
      <c r="C423" s="0" t="n">
        <v>1</v>
      </c>
    </row>
    <row r="424" customFormat="false" ht="15" hidden="false" customHeight="false" outlineLevel="0" collapsed="false">
      <c r="A424" s="0" t="s">
        <v>159</v>
      </c>
      <c r="B424" s="0" t="s">
        <v>294</v>
      </c>
      <c r="C424" s="0" t="n">
        <v>1</v>
      </c>
    </row>
    <row r="425" customFormat="false" ht="15" hidden="false" customHeight="false" outlineLevel="0" collapsed="false">
      <c r="A425" s="0" t="s">
        <v>159</v>
      </c>
      <c r="B425" s="0" t="s">
        <v>296</v>
      </c>
      <c r="C425" s="0" t="n">
        <v>1</v>
      </c>
    </row>
    <row r="426" customFormat="false" ht="15" hidden="false" customHeight="false" outlineLevel="0" collapsed="false">
      <c r="A426" s="0" t="s">
        <v>159</v>
      </c>
      <c r="B426" s="0" t="s">
        <v>297</v>
      </c>
      <c r="C426" s="0" t="n">
        <v>1</v>
      </c>
    </row>
    <row r="427" customFormat="false" ht="15" hidden="false" customHeight="false" outlineLevel="0" collapsed="false">
      <c r="A427" s="0" t="s">
        <v>159</v>
      </c>
      <c r="B427" s="0" t="s">
        <v>298</v>
      </c>
      <c r="C427" s="0" t="n">
        <v>1</v>
      </c>
    </row>
    <row r="428" customFormat="false" ht="15" hidden="false" customHeight="false" outlineLevel="0" collapsed="false">
      <c r="A428" s="0" t="s">
        <v>159</v>
      </c>
      <c r="B428" s="0" t="s">
        <v>299</v>
      </c>
      <c r="C428" s="0" t="n">
        <v>1</v>
      </c>
    </row>
    <row r="429" customFormat="false" ht="15" hidden="false" customHeight="false" outlineLevel="0" collapsed="false">
      <c r="A429" s="0" t="s">
        <v>159</v>
      </c>
      <c r="B429" s="0" t="s">
        <v>300</v>
      </c>
      <c r="C429" s="0" t="n">
        <v>1</v>
      </c>
    </row>
    <row r="430" customFormat="false" ht="15" hidden="false" customHeight="false" outlineLevel="0" collapsed="false">
      <c r="A430" s="0" t="s">
        <v>159</v>
      </c>
      <c r="B430" s="0" t="s">
        <v>301</v>
      </c>
      <c r="C430" s="0" t="n">
        <v>1</v>
      </c>
    </row>
    <row r="431" customFormat="false" ht="15" hidden="false" customHeight="false" outlineLevel="0" collapsed="false">
      <c r="A431" s="0" t="s">
        <v>159</v>
      </c>
      <c r="B431" s="0" t="s">
        <v>425</v>
      </c>
      <c r="C431" s="0" t="n">
        <v>1</v>
      </c>
    </row>
    <row r="432" customFormat="false" ht="15" hidden="false" customHeight="false" outlineLevel="0" collapsed="false">
      <c r="A432" s="0" t="s">
        <v>159</v>
      </c>
      <c r="B432" s="0" t="s">
        <v>302</v>
      </c>
      <c r="C432" s="0" t="n">
        <v>1</v>
      </c>
    </row>
    <row r="433" customFormat="false" ht="15" hidden="false" customHeight="false" outlineLevel="0" collapsed="false">
      <c r="A433" s="0" t="s">
        <v>159</v>
      </c>
      <c r="B433" s="0" t="s">
        <v>360</v>
      </c>
      <c r="C433" s="0" t="n">
        <v>1</v>
      </c>
    </row>
    <row r="434" customFormat="false" ht="15" hidden="false" customHeight="false" outlineLevel="0" collapsed="false">
      <c r="A434" s="0" t="s">
        <v>159</v>
      </c>
      <c r="B434" s="0" t="s">
        <v>393</v>
      </c>
      <c r="C434" s="0" t="n">
        <v>1</v>
      </c>
    </row>
    <row r="435" customFormat="false" ht="15" hidden="false" customHeight="false" outlineLevel="0" collapsed="false">
      <c r="A435" s="0" t="s">
        <v>159</v>
      </c>
      <c r="B435" s="0" t="s">
        <v>305</v>
      </c>
      <c r="C435" s="0" t="n">
        <v>1</v>
      </c>
    </row>
    <row r="436" customFormat="false" ht="15" hidden="false" customHeight="false" outlineLevel="0" collapsed="false">
      <c r="A436" s="0" t="s">
        <v>159</v>
      </c>
      <c r="B436" s="0" t="s">
        <v>362</v>
      </c>
      <c r="C436" s="0" t="n">
        <v>1</v>
      </c>
    </row>
    <row r="437" customFormat="false" ht="15" hidden="false" customHeight="false" outlineLevel="0" collapsed="false">
      <c r="A437" s="0" t="s">
        <v>159</v>
      </c>
      <c r="B437" s="0" t="s">
        <v>307</v>
      </c>
      <c r="C437" s="0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2026-09-22T09:09:06Z</dcterms:created>
  <dc:creator>openpyxl</dc:creator>
  <dc:description/>
  <dc:language>en-US</dc:language>
  <cp:lastModifiedBy/>
  <dcterms:modified xsi:type="dcterms:W3CDTF">2026-09-22T09:09:07Z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