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89acdfa5d74a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gend" sheetId="1" r:id="Rd2071fdef49e415d"/>
    <x:sheet xmlns:r="http://schemas.openxmlformats.org/officeDocument/2006/relationships" name="Data" sheetId="2" r:id="R13ff330513c746d7"/>
    <x:sheet xmlns:r="http://schemas.openxmlformats.org/officeDocument/2006/relationships" name="Selector" sheetId="3" r:id="R81781c8e5347469b"/>
    <x:sheet xmlns:r="http://schemas.openxmlformats.org/officeDocument/2006/relationships" name="Sequence" sheetId="4" r:id="Rc950baa3fc054a9f"/>
    <x:sheet xmlns:r="http://schemas.openxmlformats.org/officeDocument/2006/relationships" name="Repetition" sheetId="5" r:id="Rc6cc9827ef3441d1"/>
    <x:sheet xmlns:r="http://schemas.openxmlformats.org/officeDocument/2006/relationships" name="Profiles" sheetId="6" r:id="R08945c85c90d4201"/>
    <x:sheet xmlns:r="http://schemas.openxmlformats.org/officeDocument/2006/relationships" name="VignetteKeys" sheetId="7" r:id="R1dfce48b0f26456e"/>
    <x:sheet xmlns:r="http://schemas.openxmlformats.org/officeDocument/2006/relationships" name="Responses" sheetId="8" r:id="R81068f0a106546d0"/>
    <x:sheet xmlns:r="http://schemas.openxmlformats.org/officeDocument/2006/relationships" name="Checks" sheetId="9" r:id="R7fc4df10e5ca4c46"/>
    <x:sheet xmlns:r="http://schemas.openxmlformats.org/officeDocument/2006/relationships" name="Raw" sheetId="10" r:id="R55a8c3fa53bd4f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name val="Arial"/>
    </x:font>
    <x:font>
      <x:name val="Arial"/>
    </x:font>
    <x:font>
      <x:color rgb="FF0000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Alignment="1">
      <x:alignment wrapText="1"/>
    </x:xf>
    <x:xf numFmtId="0" fontId="2" fillId="0" borderId="0" xfId="0" applyAlignment="1">
      <x:alignment wrapText="1"/>
    </x:xf>
    <x:xf numFmtId="0" fontId="1" fillId="2" borderId="0" xfId="0" applyAlignment="1">
      <x:alignment vertical="top" wrapText="1"/>
    </x:xf>
    <x:xf numFmtId="0" fontId="2" fillId="0" borderId="0" xfId="0"/>
    <x:xf numFmtId="0" fontId="1" fillId="0" borderId="0" xfId="0"/>
    <x:xf numFmtId="0" fontId="1" fillId="2" borderId="0" xfId="0" applyAlignment="1">
      <x:alignment wrapText="1"/>
    </x:xf>
    <x:xf numFmtId="0" fontId="3" fillId="3" borderId="0" xfId="0"/>
  </x:cellXfs>
  <x:cellStyles count="1">
    <x:cellStyle name="Normal" xfId="0"/>
  </x:cellStyles>
  <x:dxfs count="2">
    <x:dxf>
      <x:fill>
        <x:patternFill>
          <x:bgColor rgb="00F4CCCC"/>
        </x:patternFill>
      </x:fill>
    </x:dxf>
    <x:dxf>
      <x:fill>
        <x:patternFill>
          <x:bgColor rgb="00D9EAD3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37a33943ea41af" /><Relationship Type="http://schemas.openxmlformats.org/officeDocument/2006/relationships/theme" Target="/xl/theme/theme1.xml" Id="R8576551be557462a" /><Relationship Type="http://schemas.openxmlformats.org/officeDocument/2006/relationships/sharedStrings" Target="/xl/sharedStrings.xml" Id="Rca7bf0c6ad9d44a3" /><Relationship Type="http://schemas.openxmlformats.org/officeDocument/2006/relationships/worksheet" Target="/xl/worksheets/sheet1.xml" Id="Rd2071fdef49e415d" /><Relationship Type="http://schemas.openxmlformats.org/officeDocument/2006/relationships/worksheet" Target="/xl/worksheets/sheet2.xml" Id="R13ff330513c746d7" /><Relationship Type="http://schemas.openxmlformats.org/officeDocument/2006/relationships/worksheet" Target="/xl/worksheets/sheet3.xml" Id="R81781c8e5347469b" /><Relationship Type="http://schemas.openxmlformats.org/officeDocument/2006/relationships/worksheet" Target="/xl/worksheets/sheet4.xml" Id="Rc950baa3fc054a9f" /><Relationship Type="http://schemas.openxmlformats.org/officeDocument/2006/relationships/worksheet" Target="/xl/worksheets/sheet5.xml" Id="Rc6cc9827ef3441d1" /><Relationship Type="http://schemas.openxmlformats.org/officeDocument/2006/relationships/worksheet" Target="/xl/worksheets/sheet6.xml" Id="R08945c85c90d4201" /><Relationship Type="http://schemas.openxmlformats.org/officeDocument/2006/relationships/worksheet" Target="/xl/worksheets/sheet7.xml" Id="R1dfce48b0f26456e" /><Relationship Type="http://schemas.openxmlformats.org/officeDocument/2006/relationships/worksheet" Target="/xl/worksheets/sheet8.xml" Id="R81068f0a106546d0" /><Relationship Type="http://schemas.openxmlformats.org/officeDocument/2006/relationships/worksheet" Target="/xl/worksheets/sheet9.xml" Id="R7fc4df10e5ca4c46" /><Relationship Type="http://schemas.openxmlformats.org/officeDocument/2006/relationships/worksheet" Target="/xl/worksheets/sheet10.xml" Id="R55a8c3fa53bd4f8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0" customWidth="1"/>
  </x:cols>
  <x:sheetData>
    <x:row r="1">
      <x:c r="A1" s="1" t="inlineStr">
        <x:is>
          <x:t xml:space="preserve">Anonymous expert consultation (ten practitioners, September–October 2026) — answers and automatic checks</x:t>
        </x:is>
      </x:c>
    </x:row>
    <x:row r="2">
      <x:c r="A2" s="2" t="str">
        <x:v>1. Sheet “Responses” is filled in AUTOMATICALLY by import_responses.py. It can also be filled in by hand in the yellow cells; row EXAMPLE shows the format.</x:v>
      </x:c>
    </x:row>
    <x:row r="3">
      <x:c r="A3" s="2" t="inlineStr">
        <x:is>
          <x:t xml:space="preserve">2. Multiple-choice items: position of the ticked box counting from the left (1 = first box). No answer: leave empty.</x:t>
        </x:is>
      </x:c>
    </x:row>
    <x:row r="4">
      <x:c r="A4" s="2" t="inlineStr">
        <x:is>
          <x:t xml:space="preserve">3. D1 in cases with several options and in case 5: the LETTER chosen (N, A, B, … or P, Q, … in case 5).</x:t>
        </x:is>
      </x:c>
    </x:row>
    <x:row r="5">
      <x:c r="A5" s="2" t="inlineStr">
        <x:is>
          <x:t xml:space="preserve">4. D1 in cases with a single recommendation: 1 = Yes, 2 = Yes but alternatives, 3 = No.</x:t>
        </x:is>
      </x:c>
    </x:row>
    <x:row r="6">
      <x:c r="A6" s="2" t="inlineStr">
        <x:is>
          <x:t xml:space="preserve">5. D2 selector: value (e.g. 0.7); “I would not use it” = 0. D5 confidence: 1–7. Total minutes: from the start and end time in the booklet, or the editing time recorded by Word.</x:t>
        </x:is>
      </x:c>
    </x:row>
    <x:row r="7">
      <x:c r="A7" s="2" t="inlineStr">
        <x:is>
          <x:t xml:space="preserve">6. Sheet “Checks” computes regrets and flags: “X” = certainly problematic, ask for clarification; “Y” = desirable; “–” = acceptable.</x:t>
        </x:is>
      </x:c>
    </x:row>
    <x:row r="8">
      <x:c r="A8" s="2" t="inlineStr">
        <x:is>
          <x:t xml:space="preserve">X flags generate clarification questions posted by booklet code in the CLARIFICATIONS folder (anonymous consultation). Sheet “Raw” lists every box read from the files.</x:t>
        </x:is>
      </x:c>
    </x:row>
    <x:row r="9">
      <x:c r="A9" s="2" t="inlineStr">
        <x:is>
          <x:t xml:space="preserve">7. Thresholds (as in Expected_ranges.docx): regret Y ≤ 0.10, X ≥ 0.50 or ≥ regret of N; selector Y within minimum + 0.05, X ≥ minimum + 0.30; reading X with ≥ 2 errors; quiz X ≤ 3/5; total time X &lt; 25 or &gt; 150 min, Y 45–100 min; SUS X &lt; 50, Y ≥ 68.</x:t>
        </x:is>
      </x:c>
    </x:row>
    <x:row r="10">
      <x:c r="A10" s="2" t="inlineStr">
        <x:is>
          <x:t xml:space="preserve">Case data: released C-R-EoH code (github.com/fnuni/2026anor), synthetic instances 12, 14, 4, 9; scores normalised over the archive (Sec. 9.2 of the manuscript).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10" customWidth="1"/>
    <x:col min="2" max="2" width="8" customWidth="1"/>
    <x:col min="3" max="3" width="9" customWidth="1"/>
    <x:col min="4" max="4" width="10" customWidth="1"/>
    <x:col min="5" max="5" width="10" customWidth="1"/>
    <x:col min="6" max="6" width="10" customWidth="1"/>
    <x:col min="7" max="7" width="8" customWidth="1"/>
    <x:col min="8" max="8" width="10" customWidth="1"/>
    <x:col min="9" max="9" width="12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0" customWidth="1"/>
    <x:col min="18" max="18" width="10" customWidth="1"/>
    <x:col min="19" max="19" width="10" customWidth="1"/>
  </x:cols>
  <x:sheetData>
    <x:row r="1">
      <x:c r="A1" s="3" t="inlineStr">
        <x:is>
          <x:t xml:space="preserve">Key (instance|label)</x:t>
        </x:is>
      </x:c>
      <x:c r="B1" s="3" t="inlineStr">
        <x:is>
          <x:t xml:space="preserve">Instance</x:t>
        </x:is>
      </x:c>
      <x:c r="C1" s="3" t="inlineStr">
        <x:is>
          <x:t xml:space="preserve">Label</x:t>
        </x:is>
      </x:c>
      <x:c r="D1" s="3" t="inlineStr">
        <x:is>
          <x:t xml:space="preserve">n1 cost</x:t>
        </x:is>
      </x:c>
      <x:c r="E1" s="3" t="inlineStr">
        <x:is>
          <x:t xml:space="preserve">n2 difficult</x:t>
        </x:is>
      </x:c>
      <x:c r="F1" s="3" t="inlineStr">
        <x:is>
          <x:t xml:space="preserve">n3 variability</x:t>
        </x:is>
      </x:c>
      <x:c r="G1" s="3" t="inlineStr">
        <x:is>
          <x:t xml:space="preserve">Technicians</x:t>
        </x:is>
      </x:c>
      <x:c r="H1" s="3" t="inlineStr">
        <x:is>
          <x:t xml:space="preserve">In portfolio</x:t>
        </x:is>
      </x:c>
      <x:c r="I1" s="3" t="inlineStr">
        <x:is>
          <x:t xml:space="preserve">Reachable with selector</x:t>
        </x:is>
      </x:c>
      <x:c r="J1" s="3" t="inlineStr">
        <x:is>
          <x:t xml:space="preserve">U_P01</x:t>
        </x:is>
      </x:c>
      <x:c r="K1" s="3" t="inlineStr">
        <x:is>
          <x:t xml:space="preserve">U_P02</x:t>
        </x:is>
      </x:c>
      <x:c r="L1" s="3" t="inlineStr">
        <x:is>
          <x:t xml:space="preserve">U_P03</x:t>
        </x:is>
      </x:c>
      <x:c r="M1" s="3" t="inlineStr">
        <x:is>
          <x:t xml:space="preserve">U_P04</x:t>
        </x:is>
      </x:c>
      <x:c r="N1" s="3" t="inlineStr">
        <x:is>
          <x:t xml:space="preserve">U_P05</x:t>
        </x:is>
      </x:c>
      <x:c r="O1" s="3" t="inlineStr">
        <x:is>
          <x:t xml:space="preserve">U_P06</x:t>
        </x:is>
      </x:c>
      <x:c r="P1" s="3" t="inlineStr">
        <x:is>
          <x:t xml:space="preserve">U_P07</x:t>
        </x:is>
      </x:c>
      <x:c r="Q1" s="3" t="inlineStr">
        <x:is>
          <x:t xml:space="preserve">U_P08</x:t>
        </x:is>
      </x:c>
      <x:c r="R1" s="3" t="inlineStr">
        <x:is>
          <x:t xml:space="preserve">U_P09</x:t>
        </x:is>
      </x:c>
      <x:c r="S1" s="3" t="inlineStr">
        <x:is>
          <x:t xml:space="preserve">U_P10</x:t>
        </x:is>
      </x:c>
    </x:row>
    <x:row r="2">
      <x:c r="A2" s="4" t="inlineStr">
        <x:is>
          <x:t xml:space="preserve">12|N</x:t>
        </x:is>
      </x:c>
      <x:c r="B2" s="4" t="n">
        <x:v>12</x:v>
      </x:c>
      <x:c r="C2" s="4" t="inlineStr">
        <x:is>
          <x:t xml:space="preserve">N</x:t>
        </x:is>
      </x:c>
      <x:c r="D2" s="4" t="n">
        <x:v>0.200671</x:v>
      </x:c>
      <x:c r="E2" s="4" t="n">
        <x:v>0.814249</x:v>
      </x:c>
      <x:c r="F2" s="4" t="n">
        <x:v>3.133476</x:v>
      </x:c>
      <x:c r="G2" s="4" t="n">
        <x:v>5</x:v>
      </x:c>
      <x:c r="H2" s="4" t="n">
        <x:v>0</x:v>
      </x:c>
      <x:c r="I2" s="4" t="n">
        <x:v>0</x:v>
      </x:c>
      <x:c r="J2" s="4" t="n">
        <x:f>-(Responses!$C$3*D2+Responses!$D$3*E2+Responses!$E$3*F2)/10</x:f>
        <x:v>-1.0326632</x:v>
      </x:c>
      <x:c r="K2" s="4" t="n">
        <x:f>-(Responses!$C$4*D2+Responses!$D$4*E2+Responses!$E$4*F2)/10</x:f>
        <x:v>-1.6192242000000001</x:v>
      </x:c>
      <x:c r="L2" s="4" t="n">
        <x:f>-(Responses!$C$5*D2+Responses!$D$5*E2+Responses!$E$5*F2)/10</x:f>
        <x:v>-1.3259437</x:v>
      </x:c>
      <x:c r="M2" s="4" t="n">
        <x:f>-(Responses!$C$6*D2+Responses!$D$6*E2+Responses!$E$6*F2)/10</x:f>
        <x:v>-1.2645859</x:v>
      </x:c>
      <x:c r="N2" s="4" t="n">
        <x:f>-(Responses!$C$7*D2+Responses!$D$7*E2+Responses!$E$7*F2)/10</x:f>
        <x:v>-1.0940210000000001</x:v>
      </x:c>
      <x:c r="O2" s="4" t="n">
        <x:f>-(Responses!$C$8*D2+Responses!$D$8*E2+Responses!$E$8*F2)/10</x:f>
        <x:v>-0.7393827</x:v>
      </x:c>
      <x:c r="P2" s="4" t="n">
        <x:f>-(Responses!$C$9*D2+Responses!$D$9*E2+Responses!$E$9*F2)/10</x:f>
        <x:v>-1.0940210000000001</x:v>
      </x:c>
      <x:c r="Q2" s="4" t="n">
        <x:f>-(Responses!$C$10*D2+Responses!$D$10*E2+Responses!$E$10*F2)/10</x:f>
        <x:v>-1.0940210000000001</x:v>
      </x:c>
      <x:c r="R2" s="4" t="n">
        <x:f>-(Responses!$C$11*D2+Responses!$D$11*E2+Responses!$E$11*F2)/10</x:f>
        <x:v>-1.0940210000000001</x:v>
      </x:c>
      <x:c r="S2" s="4" t="n">
        <x:f>-(Responses!$C$12*D2+Responses!$D$12*E2+Responses!$E$12*F2)/10</x:f>
        <x:v>-1.3259437</x:v>
      </x:c>
    </x:row>
    <x:row r="3">
      <x:c r="A3" s="4" t="inlineStr">
        <x:is>
          <x:t xml:space="preserve">12|A</x:t>
        </x:is>
      </x:c>
      <x:c r="B3" s="4" t="n">
        <x:v>12</x:v>
      </x:c>
      <x:c r="C3" s="4" t="inlineStr">
        <x:is>
          <x:t xml:space="preserve">A</x:t>
        </x:is>
      </x:c>
      <x:c r="D3" s="4" t="n">
        <x:v>0</x:v>
      </x:c>
      <x:c r="E3" s="4" t="n">
        <x:v>0.064489</x:v>
      </x:c>
      <x:c r="F3" s="4" t="n">
        <x:v>0.990652</x:v>
      </x:c>
      <x:c r="G3" s="4" t="n">
        <x:v>6</x:v>
      </x:c>
      <x:c r="H3" s="4" t="n">
        <x:v>1</x:v>
      </x:c>
      <x:c r="I3" s="4" t="n">
        <x:v>1</x:v>
      </x:c>
      <x:c r="J3" s="4" t="n">
        <x:f>-(Responses!$C$3*D3+Responses!$D$3*E3+Responses!$E$3*F3)/10</x:f>
        <x:v>-0.223926</x:v>
      </x:c>
      <x:c r="K3" s="4" t="n">
        <x:f>-(Responses!$C$4*D3+Responses!$D$4*E3+Responses!$E$4*F3)/10</x:f>
        <x:v>-0.42205639999999994</x:v>
      </x:c>
      <x:c r="L3" s="4" t="n">
        <x:f>-(Responses!$C$5*D3+Responses!$D$5*E3+Responses!$E$5*F3)/10</x:f>
        <x:v>-0.32299120000000003</x:v>
      </x:c>
      <x:c r="M3" s="4" t="n">
        <x:f>-(Responses!$C$6*D3+Responses!$D$6*E3+Responses!$E$6*F3)/10</x:f>
        <x:v>-0.3165423</x:v>
      </x:c>
      <x:c r="N3" s="4" t="n">
        <x:f>-(Responses!$C$7*D3+Responses!$D$7*E3+Responses!$E$7*F3)/10</x:f>
        <x:v>-0.2303749</x:v>
      </x:c>
      <x:c r="O3" s="4" t="n">
        <x:f>-(Responses!$C$8*D3+Responses!$D$8*E3+Responses!$E$8*F3)/10</x:f>
        <x:v>-0.1248608</x:v>
      </x:c>
      <x:c r="P3" s="4" t="n">
        <x:f>-(Responses!$C$9*D3+Responses!$D$9*E3+Responses!$E$9*F3)/10</x:f>
        <x:v>-0.2303749</x:v>
      </x:c>
      <x:c r="Q3" s="4" t="n">
        <x:f>-(Responses!$C$10*D3+Responses!$D$10*E3+Responses!$E$10*F3)/10</x:f>
        <x:v>-0.2303749</x:v>
      </x:c>
      <x:c r="R3" s="4" t="n">
        <x:f>-(Responses!$C$11*D3+Responses!$D$11*E3+Responses!$E$11*F3)/10</x:f>
        <x:v>-0.2303749</x:v>
      </x:c>
      <x:c r="S3" s="4" t="n">
        <x:f>-(Responses!$C$12*D3+Responses!$D$12*E3+Responses!$E$12*F3)/10</x:f>
        <x:v>-0.32299120000000003</x:v>
      </x:c>
    </x:row>
    <x:row r="4">
      <x:c r="A4" s="4" t="inlineStr">
        <x:is>
          <x:t xml:space="preserve">12|B</x:t>
        </x:is>
      </x:c>
      <x:c r="B4" s="4" t="n">
        <x:v>12</x:v>
      </x:c>
      <x:c r="C4" s="4" t="inlineStr">
        <x:is>
          <x:t xml:space="preserve">B</x:t>
        </x:is>
      </x:c>
      <x:c r="D4" s="4" t="n">
        <x:v>0.002126</x:v>
      </x:c>
      <x:c r="E4" s="4" t="n">
        <x:v>0.061162</x:v>
      </x:c>
      <x:c r="F4" s="4" t="n">
        <x:v>1</x:v>
      </x:c>
      <x:c r="G4" s="4" t="n">
        <x:v>6</x:v>
      </x:c>
      <x:c r="H4" s="4" t="n">
        <x:v>1</x:v>
      </x:c>
      <x:c r="I4" s="4" t="n">
        <x:v>1</x:v>
      </x:c>
      <x:c r="J4" s="4" t="n">
        <x:f>-(Responses!$C$3*D4+Responses!$D$3*E4+Responses!$E$3*F4)/10</x:f>
        <x:v>-0.2253152</x:v>
      </x:c>
      <x:c r="K4" s="4" t="n">
        <x:f>-(Responses!$C$4*D4+Responses!$D$4*E4+Responses!$E$4*F4)/10</x:f>
        <x:v>-0.42489</x:v>
      </x:c>
      <x:c r="L4" s="4" t="n">
        <x:f>-(Responses!$C$5*D4+Responses!$D$5*E4+Responses!$E$5*F4)/10</x:f>
        <x:v>-0.3251026</x:v>
      </x:c>
      <x:c r="M4" s="4" t="n">
        <x:f>-(Responses!$C$6*D4+Responses!$D$6*E4+Responses!$E$6*F4)/10</x:f>
        <x:v>-0.319199</x:v>
      </x:c>
      <x:c r="N4" s="4" t="n">
        <x:f>-(Responses!$C$7*D4+Responses!$D$7*E4+Responses!$E$7*F4)/10</x:f>
        <x:v>-0.2312188</x:v>
      </x:c>
      <x:c r="O4" s="4" t="n">
        <x:f>-(Responses!$C$8*D4+Responses!$D$8*E4+Responses!$E$8*F4)/10</x:f>
        <x:v>-0.12552780000000002</x:v>
      </x:c>
      <x:c r="P4" s="4" t="n">
        <x:f>-(Responses!$C$9*D4+Responses!$D$9*E4+Responses!$E$9*F4)/10</x:f>
        <x:v>-0.2312188</x:v>
      </x:c>
      <x:c r="Q4" s="4" t="n">
        <x:f>-(Responses!$C$10*D4+Responses!$D$10*E4+Responses!$E$10*F4)/10</x:f>
        <x:v>-0.2312188</x:v>
      </x:c>
      <x:c r="R4" s="4" t="n">
        <x:f>-(Responses!$C$11*D4+Responses!$D$11*E4+Responses!$E$11*F4)/10</x:f>
        <x:v>-0.2312188</x:v>
      </x:c>
      <x:c r="S4" s="4" t="n">
        <x:f>-(Responses!$C$12*D4+Responses!$D$12*E4+Responses!$E$12*F4)/10</x:f>
        <x:v>-0.3251026</x:v>
      </x:c>
    </x:row>
    <x:row r="5">
      <x:c r="A5" s="4" t="inlineStr">
        <x:is>
          <x:t xml:space="preserve">12|C</x:t>
        </x:is>
      </x:c>
      <x:c r="B5" s="4" t="n">
        <x:v>12</x:v>
      </x:c>
      <x:c r="C5" s="4" t="inlineStr">
        <x:is>
          <x:t xml:space="preserve">C</x:t>
        </x:is>
      </x:c>
      <x:c r="D5" s="4" t="n">
        <x:v>0.165642</x:v>
      </x:c>
      <x:c r="E5" s="4" t="n">
        <x:v>0</x:v>
      </x:c>
      <x:c r="F5" s="4" t="n">
        <x:v>0.107923</x:v>
      </x:c>
      <x:c r="G5" s="4" t="n">
        <x:v>7</x:v>
      </x:c>
      <x:c r="H5" s="4" t="n">
        <x:v>1</x:v>
      </x:c>
      <x:c r="I5" s="4" t="n">
        <x:v>1</x:v>
      </x:c>
      <x:c r="J5" s="4" t="n">
        <x:f>-(Responses!$C$3*D5+Responses!$D$3*E5+Responses!$E$3*F5)/10</x:f>
        <x:v>-0.0878414</x:v>
      </x:c>
      <x:c r="K5" s="4" t="n">
        <x:f>-(Responses!$C$4*D5+Responses!$D$4*E5+Responses!$E$4*F5)/10</x:f>
        <x:v>-0.07629760000000001</x:v>
      </x:c>
      <x:c r="L5" s="4" t="n">
        <x:f>-(Responses!$C$5*D5+Responses!$D$5*E5+Responses!$E$5*F5)/10</x:f>
        <x:v>-0.0820695</x:v>
      </x:c>
      <x:c r="M5" s="4" t="n">
        <x:f>-(Responses!$C$6*D5+Responses!$D$6*E5+Responses!$E$6*F5)/10</x:f>
        <x:v>-0.0986337</x:v>
      </x:c>
      <x:c r="N5" s="4" t="n">
        <x:f>-(Responses!$C$7*D5+Responses!$D$7*E5+Responses!$E$7*F5)/10</x:f>
        <x:v>-0.07127720000000001</x:v>
      </x:c>
      <x:c r="O5" s="4" t="n">
        <x:f>-(Responses!$C$8*D5+Responses!$D$8*E5+Responses!$E$8*F5)/10</x:f>
        <x:v>-0.09361330000000001</x:v>
      </x:c>
      <x:c r="P5" s="4" t="n">
        <x:f>-(Responses!$C$9*D5+Responses!$D$9*E5+Responses!$E$9*F5)/10</x:f>
        <x:v>-0.07127720000000001</x:v>
      </x:c>
      <x:c r="Q5" s="4" t="n">
        <x:f>-(Responses!$C$10*D5+Responses!$D$10*E5+Responses!$E$10*F5)/10</x:f>
        <x:v>-0.07127720000000001</x:v>
      </x:c>
      <x:c r="R5" s="4" t="n">
        <x:f>-(Responses!$C$11*D5+Responses!$D$11*E5+Responses!$E$11*F5)/10</x:f>
        <x:v>-0.07127720000000001</x:v>
      </x:c>
      <x:c r="S5" s="4" t="n">
        <x:f>-(Responses!$C$12*D5+Responses!$D$12*E5+Responses!$E$12*F5)/10</x:f>
        <x:v>-0.0820695</x:v>
      </x:c>
    </x:row>
    <x:row r="6">
      <x:c r="A6" s="4" t="inlineStr">
        <x:is>
          <x:t xml:space="preserve">12|D</x:t>
        </x:is>
      </x:c>
      <x:c r="B6" s="4" t="n">
        <x:v>12</x:v>
      </x:c>
      <x:c r="C6" s="4" t="inlineStr">
        <x:is>
          <x:t xml:space="preserve">D</x:t>
        </x:is>
      </x:c>
      <x:c r="D6" s="4" t="n">
        <x:v>0.434769</x:v>
      </x:c>
      <x:c r="E6" s="4" t="n">
        <x:v>0.296002</x:v>
      </x:c>
      <x:c r="F6" s="4" t="n">
        <x:v>0</x:v>
      </x:c>
      <x:c r="G6" s="4" t="n">
        <x:v>8</x:v>
      </x:c>
      <x:c r="H6" s="4" t="n">
        <x:v>1</x:v>
      </x:c>
      <x:c r="I6" s="4" t="n">
        <x:v>0</x:v>
      </x:c>
      <x:c r="J6" s="4" t="n">
        <x:f>-(Responses!$C$3*D6+Responses!$D$3*E6+Responses!$E$3*F6)/10</x:f>
        <x:v>-0.2923084</x:v>
      </x:c>
      <x:c r="K6" s="4" t="n">
        <x:f>-(Responses!$C$4*D6+Responses!$D$4*E6+Responses!$E$4*F6)/10</x:f>
        <x:v>-0.2053546</x:v>
      </x:c>
      <x:c r="L6" s="4" t="n">
        <x:f>-(Responses!$C$5*D6+Responses!$D$5*E6+Responses!$E$5*F6)/10</x:f>
        <x:v>-0.2488315</x:v>
      </x:c>
      <x:c r="M6" s="4" t="n">
        <x:f>-(Responses!$C$6*D6+Responses!$D$6*E6+Responses!$E$6*F6)/10</x:f>
        <x:v>-0.2627082</x:v>
      </x:c>
      <x:c r="N6" s="4" t="n">
        <x:f>-(Responses!$C$7*D6+Responses!$D$7*E6+Responses!$E$7*F6)/10</x:f>
        <x:v>-0.2784317</x:v>
      </x:c>
      <x:c r="O6" s="4" t="n">
        <x:f>-(Responses!$C$8*D6+Responses!$D$8*E6+Responses!$E$8*F6)/10</x:f>
        <x:v>-0.3357853</x:v>
      </x:c>
      <x:c r="P6" s="4" t="n">
        <x:f>-(Responses!$C$9*D6+Responses!$D$9*E6+Responses!$E$9*F6)/10</x:f>
        <x:v>-0.2784317</x:v>
      </x:c>
      <x:c r="Q6" s="4" t="n">
        <x:f>-(Responses!$C$10*D6+Responses!$D$10*E6+Responses!$E$10*F6)/10</x:f>
        <x:v>-0.2784317</x:v>
      </x:c>
      <x:c r="R6" s="4" t="n">
        <x:f>-(Responses!$C$11*D6+Responses!$D$11*E6+Responses!$E$11*F6)/10</x:f>
        <x:v>-0.2784317</x:v>
      </x:c>
      <x:c r="S6" s="4" t="n">
        <x:f>-(Responses!$C$12*D6+Responses!$D$12*E6+Responses!$E$12*F6)/10</x:f>
        <x:v>-0.2488315</x:v>
      </x:c>
    </x:row>
    <x:row r="7">
      <x:c r="A7" s="4" t="inlineStr">
        <x:is>
          <x:t xml:space="preserve">12|E</x:t>
        </x:is>
      </x:c>
      <x:c r="B7" s="4" t="n">
        <x:v>12</x:v>
      </x:c>
      <x:c r="C7" s="4" t="inlineStr">
        <x:is>
          <x:t xml:space="preserve">E</x:t>
        </x:is>
      </x:c>
      <x:c r="D7" s="4" t="n">
        <x:v>1</x:v>
      </x:c>
      <x:c r="E7" s="4" t="n">
        <x:v>1</x:v>
      </x:c>
      <x:c r="F7" s="4" t="n">
        <x:v>0</x:v>
      </x:c>
      <x:c r="G7" s="4" t="n">
        <x:v>10</x:v>
      </x:c>
      <x:c r="H7" s="4" t="n">
        <x:v>1</x:v>
      </x:c>
      <x:c r="I7" s="4" t="n">
        <x:v>0</x:v>
      </x:c>
      <x:c r="J7" s="4" t="n">
        <x:f>-(Responses!$C$3*D7+Responses!$D$3*E7+Responses!$E$3*F7)/10</x:f>
        <x:v>-0.8</x:v>
      </x:c>
      <x:c r="K7" s="4" t="n">
        <x:f>-(Responses!$C$4*D7+Responses!$D$4*E7+Responses!$E$4*F7)/10</x:f>
        <x:v>-0.6</x:v>
      </x:c>
      <x:c r="L7" s="4" t="n">
        <x:f>-(Responses!$C$5*D7+Responses!$D$5*E7+Responses!$E$5*F7)/10</x:f>
        <x:v>-0.7</x:v>
      </x:c>
      <x:c r="M7" s="4" t="n">
        <x:f>-(Responses!$C$6*D7+Responses!$D$6*E7+Responses!$E$6*F7)/10</x:f>
        <x:v>-0.7</x:v>
      </x:c>
      <x:c r="N7" s="4" t="n">
        <x:f>-(Responses!$C$7*D7+Responses!$D$7*E7+Responses!$E$7*F7)/10</x:f>
        <x:v>-0.8</x:v>
      </x:c>
      <x:c r="O7" s="4" t="n">
        <x:f>-(Responses!$C$8*D7+Responses!$D$8*E7+Responses!$E$8*F7)/10</x:f>
        <x:v>-0.9</x:v>
      </x:c>
      <x:c r="P7" s="4" t="n">
        <x:f>-(Responses!$C$9*D7+Responses!$D$9*E7+Responses!$E$9*F7)/10</x:f>
        <x:v>-0.8</x:v>
      </x:c>
      <x:c r="Q7" s="4" t="n">
        <x:f>-(Responses!$C$10*D7+Responses!$D$10*E7+Responses!$E$10*F7)/10</x:f>
        <x:v>-0.8</x:v>
      </x:c>
      <x:c r="R7" s="4" t="n">
        <x:f>-(Responses!$C$11*D7+Responses!$D$11*E7+Responses!$E$11*F7)/10</x:f>
        <x:v>-0.8</x:v>
      </x:c>
      <x:c r="S7" s="4" t="n">
        <x:f>-(Responses!$C$12*D7+Responses!$D$12*E7+Responses!$E$12*F7)/10</x:f>
        <x:v>-0.7</x:v>
      </x:c>
    </x:row>
    <x:row r="8">
      <x:c r="A8" s="4" t="inlineStr">
        <x:is>
          <x:t xml:space="preserve">14|N</x:t>
        </x:is>
      </x:c>
      <x:c r="B8" s="4" t="n">
        <x:v>14</x:v>
      </x:c>
      <x:c r="C8" s="4" t="inlineStr">
        <x:is>
          <x:t xml:space="preserve">N</x:t>
        </x:is>
      </x:c>
      <x:c r="D8" s="4" t="n">
        <x:v>0.180551</x:v>
      </x:c>
      <x:c r="E8" s="4" t="n">
        <x:v>0.603063</x:v>
      </x:c>
      <x:c r="F8" s="4" t="n">
        <x:v>1.299943</x:v>
      </x:c>
      <x:c r="G8" s="4" t="n">
        <x:v>6</x:v>
      </x:c>
      <x:c r="H8" s="4" t="n">
        <x:v>0</x:v>
      </x:c>
      <x:c r="I8" s="4" t="n">
        <x:v>0</x:v>
      </x:c>
      <x:c r="J8" s="4" t="n">
        <x:f>-(Responses!$C$3*D8+Responses!$D$3*E8+Responses!$E$3*F8)/10</x:f>
        <x:v>-0.5734342</x:v>
      </x:c>
      <x:c r="K8" s="4" t="n">
        <x:f>-(Responses!$C$4*D8+Responses!$D$4*E8+Responses!$E$4*F8)/10</x:f>
        <x:v>-0.7973126</x:v>
      </x:c>
      <x:c r="L8" s="4" t="n">
        <x:f>-(Responses!$C$5*D8+Responses!$D$5*E8+Responses!$E$5*F8)/10</x:f>
        <x:v>-0.6853734</x:v>
      </x:c>
      <x:c r="M8" s="4" t="n">
        <x:f>-(Responses!$C$6*D8+Responses!$D$6*E8+Responses!$E$6*F8)/10</x:f>
        <x:v>-0.6431222</x:v>
      </x:c>
      <x:c r="N8" s="4" t="n">
        <x:f>-(Responses!$C$7*D8+Responses!$D$7*E8+Responses!$E$7*F8)/10</x:f>
        <x:v>-0.6156854</x:v>
      </x:c>
      <x:c r="O8" s="4" t="n">
        <x:f>-(Responses!$C$8*D8+Responses!$D$8*E8+Responses!$E$8*F8)/10</x:f>
        <x:v>-0.46149500000000004</x:v>
      </x:c>
      <x:c r="P8" s="4" t="n">
        <x:f>-(Responses!$C$9*D8+Responses!$D$9*E8+Responses!$E$9*F8)/10</x:f>
        <x:v>-0.6156854</x:v>
      </x:c>
      <x:c r="Q8" s="4" t="n">
        <x:f>-(Responses!$C$10*D8+Responses!$D$10*E8+Responses!$E$10*F8)/10</x:f>
        <x:v>-0.6156854</x:v>
      </x:c>
      <x:c r="R8" s="4" t="n">
        <x:f>-(Responses!$C$11*D8+Responses!$D$11*E8+Responses!$E$11*F8)/10</x:f>
        <x:v>-0.6156854</x:v>
      </x:c>
      <x:c r="S8" s="4" t="n">
        <x:f>-(Responses!$C$12*D8+Responses!$D$12*E8+Responses!$E$12*F8)/10</x:f>
        <x:v>-0.6853734</x:v>
      </x:c>
    </x:row>
    <x:row r="9">
      <x:c r="A9" s="4" t="inlineStr">
        <x:is>
          <x:t xml:space="preserve">14|A</x:t>
        </x:is>
      </x:c>
      <x:c r="B9" s="4" t="n">
        <x:v>14</x:v>
      </x:c>
      <x:c r="C9" s="4" t="inlineStr">
        <x:is>
          <x:t xml:space="preserve">A</x:t>
        </x:is>
      </x:c>
      <x:c r="D9" s="4" t="n">
        <x:v>0</x:v>
      </x:c>
      <x:c r="E9" s="4" t="n">
        <x:v>0.336489</x:v>
      </x:c>
      <x:c r="F9" s="4" t="n">
        <x:v>1</x:v>
      </x:c>
      <x:c r="G9" s="4" t="n">
        <x:v>6</x:v>
      </x:c>
      <x:c r="H9" s="4" t="n">
        <x:v>1</x:v>
      </x:c>
      <x:c r="I9" s="4" t="n">
        <x:v>1</x:v>
      </x:c>
      <x:c r="J9" s="4" t="n">
        <x:f>-(Responses!$C$3*D9+Responses!$D$3*E9+Responses!$E$3*F9)/10</x:f>
        <x:v>-0.3345956</x:v>
      </x:c>
      <x:c r="K9" s="4" t="n">
        <x:f>-(Responses!$C$4*D9+Responses!$D$4*E9+Responses!$E$4*F9)/10</x:f>
        <x:v>-0.5345956000000001</x:v>
      </x:c>
      <x:c r="L9" s="4" t="n">
        <x:f>-(Responses!$C$5*D9+Responses!$D$5*E9+Responses!$E$5*F9)/10</x:f>
        <x:v>-0.4345956</x:v>
      </x:c>
      <x:c r="M9" s="4" t="n">
        <x:f>-(Responses!$C$6*D9+Responses!$D$6*E9+Responses!$E$6*F9)/10</x:f>
        <x:v>-0.4009467</x:v>
      </x:c>
      <x:c r="N9" s="4" t="n">
        <x:f>-(Responses!$C$7*D9+Responses!$D$7*E9+Responses!$E$7*F9)/10</x:f>
        <x:v>-0.3682445</x:v>
      </x:c>
      <x:c r="O9" s="4" t="n">
        <x:f>-(Responses!$C$8*D9+Responses!$D$8*E9+Responses!$E$8*F9)/10</x:f>
        <x:v>-0.23459560000000002</x:v>
      </x:c>
      <x:c r="P9" s="4" t="n">
        <x:f>-(Responses!$C$9*D9+Responses!$D$9*E9+Responses!$E$9*F9)/10</x:f>
        <x:v>-0.3682445</x:v>
      </x:c>
      <x:c r="Q9" s="4" t="n">
        <x:f>-(Responses!$C$10*D9+Responses!$D$10*E9+Responses!$E$10*F9)/10</x:f>
        <x:v>-0.3682445</x:v>
      </x:c>
      <x:c r="R9" s="4" t="n">
        <x:f>-(Responses!$C$11*D9+Responses!$D$11*E9+Responses!$E$11*F9)/10</x:f>
        <x:v>-0.3682445</x:v>
      </x:c>
      <x:c r="S9" s="4" t="n">
        <x:f>-(Responses!$C$12*D9+Responses!$D$12*E9+Responses!$E$12*F9)/10</x:f>
        <x:v>-0.4345956</x:v>
      </x:c>
    </x:row>
    <x:row r="10">
      <x:c r="A10" s="4" t="inlineStr">
        <x:is>
          <x:t xml:space="preserve">14|B</x:t>
        </x:is>
      </x:c>
      <x:c r="B10" s="4" t="n">
        <x:v>14</x:v>
      </x:c>
      <x:c r="C10" s="4" t="inlineStr">
        <x:is>
          <x:t xml:space="preserve">B</x:t>
        </x:is>
      </x:c>
      <x:c r="D10" s="4" t="n">
        <x:v>0.003628</x:v>
      </x:c>
      <x:c r="E10" s="4" t="n">
        <x:v>0.325553</x:v>
      </x:c>
      <x:c r="F10" s="4" t="n">
        <x:v>0.983405</x:v>
      </x:c>
      <x:c r="G10" s="4" t="n">
        <x:v>6</x:v>
      </x:c>
      <x:c r="H10" s="4" t="n">
        <x:v>1</x:v>
      </x:c>
      <x:c r="I10" s="4" t="n">
        <x:v>0</x:v>
      </x:c>
      <x:c r="J10" s="4" t="n">
        <x:f>-(Responses!$C$3*D10+Responses!$D$3*E10+Responses!$E$3*F10)/10</x:f>
        <x:v>-0.3283534</x:v>
      </x:c>
      <x:c r="K10" s="4" t="n">
        <x:f>-(Responses!$C$4*D10+Responses!$D$4*E10+Responses!$E$4*F10)/10</x:f>
        <x:v>-0.5243088</x:v>
      </x:c>
      <x:c r="L10" s="4" t="n">
        <x:f>-(Responses!$C$5*D10+Responses!$D$5*E10+Responses!$E$5*F10)/10</x:f>
        <x:v>-0.42633109999999996</x:v>
      </x:c>
      <x:c r="M10" s="4" t="n">
        <x:f>-(Responses!$C$6*D10+Responses!$D$6*E10+Responses!$E$6*F10)/10</x:f>
        <x:v>-0.3941386</x:v>
      </x:c>
      <x:c r="N10" s="4" t="n">
        <x:f>-(Responses!$C$7*D10+Responses!$D$7*E10+Responses!$E$7*F10)/10</x:f>
        <x:v>-0.3605459</x:v>
      </x:c>
      <x:c r="O10" s="4" t="n">
        <x:f>-(Responses!$C$8*D10+Responses!$D$8*E10+Responses!$E$8*F10)/10</x:f>
        <x:v>-0.23037570000000002</x:v>
      </x:c>
      <x:c r="P10" s="4" t="n">
        <x:f>-(Responses!$C$9*D10+Responses!$D$9*E10+Responses!$E$9*F10)/10</x:f>
        <x:v>-0.3605459</x:v>
      </x:c>
      <x:c r="Q10" s="4" t="n">
        <x:f>-(Responses!$C$10*D10+Responses!$D$10*E10+Responses!$E$10*F10)/10</x:f>
        <x:v>-0.3605459</x:v>
      </x:c>
      <x:c r="R10" s="4" t="n">
        <x:f>-(Responses!$C$11*D10+Responses!$D$11*E10+Responses!$E$11*F10)/10</x:f>
        <x:v>-0.3605459</x:v>
      </x:c>
      <x:c r="S10" s="4" t="n">
        <x:f>-(Responses!$C$12*D10+Responses!$D$12*E10+Responses!$E$12*F10)/10</x:f>
        <x:v>-0.42633109999999996</x:v>
      </x:c>
    </x:row>
    <x:row r="11">
      <x:c r="A11" s="4" t="inlineStr">
        <x:is>
          <x:t xml:space="preserve">14|C</x:t>
        </x:is>
      </x:c>
      <x:c r="B11" s="4" t="n">
        <x:v>14</x:v>
      </x:c>
      <x:c r="C11" s="4" t="inlineStr">
        <x:is>
          <x:t xml:space="preserve">C</x:t>
        </x:is>
      </x:c>
      <x:c r="D11" s="4" t="n">
        <x:v>0.015319</x:v>
      </x:c>
      <x:c r="E11" s="4" t="n">
        <x:v>0</x:v>
      </x:c>
      <x:c r="F11" s="4" t="n">
        <x:v>0.163883</x:v>
      </x:c>
      <x:c r="G11" s="4" t="n">
        <x:v>7</x:v>
      </x:c>
      <x:c r="H11" s="4" t="n">
        <x:v>1</x:v>
      </x:c>
      <x:c r="I11" s="4" t="n">
        <x:v>1</x:v>
      </x:c>
      <x:c r="J11" s="4" t="n">
        <x:f>-(Responses!$C$3*D11+Responses!$D$3*E11+Responses!$E$3*F11)/10</x:f>
        <x:v>-0.0389042</x:v>
      </x:c>
      <x:c r="K11" s="4" t="n">
        <x:f>-(Responses!$C$4*D11+Responses!$D$4*E11+Responses!$E$4*F11)/10</x:f>
        <x:v>-0.068617</x:v>
      </x:c>
      <x:c r="L11" s="4" t="n">
        <x:f>-(Responses!$C$5*D11+Responses!$D$5*E11+Responses!$E$5*F11)/10</x:f>
        <x:v>-0.053760600000000006</x:v>
      </x:c>
      <x:c r="M11" s="4" t="n">
        <x:f>-(Responses!$C$6*D11+Responses!$D$6*E11+Responses!$E$6*F11)/10</x:f>
        <x:v>-0.0552925</x:v>
      </x:c>
      <x:c r="N11" s="4" t="n">
        <x:f>-(Responses!$C$7*D11+Responses!$D$7*E11+Responses!$E$7*F11)/10</x:f>
        <x:v>-0.037372300000000004</x:v>
      </x:c>
      <x:c r="O11" s="4" t="n">
        <x:f>-(Responses!$C$8*D11+Responses!$D$8*E11+Responses!$E$8*F11)/10</x:f>
        <x:v>-0.0240478</x:v>
      </x:c>
      <x:c r="P11" s="4" t="n">
        <x:f>-(Responses!$C$9*D11+Responses!$D$9*E11+Responses!$E$9*F11)/10</x:f>
        <x:v>-0.037372300000000004</x:v>
      </x:c>
      <x:c r="Q11" s="4" t="n">
        <x:f>-(Responses!$C$10*D11+Responses!$D$10*E11+Responses!$E$10*F11)/10</x:f>
        <x:v>-0.037372300000000004</x:v>
      </x:c>
      <x:c r="R11" s="4" t="n">
        <x:f>-(Responses!$C$11*D11+Responses!$D$11*E11+Responses!$E$11*F11)/10</x:f>
        <x:v>-0.037372300000000004</x:v>
      </x:c>
      <x:c r="S11" s="4" t="n">
        <x:f>-(Responses!$C$12*D11+Responses!$D$12*E11+Responses!$E$12*F11)/10</x:f>
        <x:v>-0.053760600000000006</x:v>
      </x:c>
    </x:row>
    <x:row r="12">
      <x:c r="A12" s="4" t="inlineStr">
        <x:is>
          <x:t xml:space="preserve">14|D</x:t>
        </x:is>
      </x:c>
      <x:c r="B12" s="4" t="n">
        <x:v>14</x:v>
      </x:c>
      <x:c r="C12" s="4" t="inlineStr">
        <x:is>
          <x:t xml:space="preserve">D</x:t>
        </x:is>
      </x:c>
      <x:c r="D12" s="4" t="n">
        <x:v>0.234647</x:v>
      </x:c>
      <x:c r="E12" s="4" t="n">
        <x:v>0.152434</x:v>
      </x:c>
      <x:c r="F12" s="4" t="n">
        <x:v>0.010616</x:v>
      </x:c>
      <x:c r="G12" s="4" t="n">
        <x:v>8</x:v>
      </x:c>
      <x:c r="H12" s="4" t="n">
        <x:v>1</x:v>
      </x:c>
      <x:c r="I12" s="4" t="n">
        <x:v>0</x:v>
      </x:c>
      <x:c r="J12" s="4" t="n">
        <x:f>-(Responses!$C$3*D12+Responses!$D$3*E12+Responses!$E$3*F12)/10</x:f>
        <x:v>-0.1569556</x:v>
      </x:c>
      <x:c r="K12" s="4" t="n">
        <x:f>-(Responses!$C$4*D12+Responses!$D$4*E12+Responses!$E$4*F12)/10</x:f>
        <x:v>-0.1121494</x:v>
      </x:c>
      <x:c r="L12" s="4" t="n">
        <x:f>-(Responses!$C$5*D12+Responses!$D$5*E12+Responses!$E$5*F12)/10</x:f>
        <x:v>-0.1345525</x:v>
      </x:c>
      <x:c r="M12" s="4" t="n">
        <x:f>-(Responses!$C$6*D12+Responses!$D$6*E12+Responses!$E$6*F12)/10</x:f>
        <x:v>-0.1427738</x:v>
      </x:c>
      <x:c r="N12" s="4" t="n">
        <x:f>-(Responses!$C$7*D12+Responses!$D$7*E12+Responses!$E$7*F12)/10</x:f>
        <x:v>-0.14873429999999996</x:v>
      </x:c>
      <x:c r="O12" s="4" t="n">
        <x:f>-(Responses!$C$8*D12+Responses!$D$8*E12+Responses!$E$8*F12)/10</x:f>
        <x:v>-0.17935869999999998</x:v>
      </x:c>
      <x:c r="P12" s="4" t="n">
        <x:f>-(Responses!$C$9*D12+Responses!$D$9*E12+Responses!$E$9*F12)/10</x:f>
        <x:v>-0.14873429999999996</x:v>
      </x:c>
      <x:c r="Q12" s="4" t="n">
        <x:f>-(Responses!$C$10*D12+Responses!$D$10*E12+Responses!$E$10*F12)/10</x:f>
        <x:v>-0.14873429999999996</x:v>
      </x:c>
      <x:c r="R12" s="4" t="n">
        <x:f>-(Responses!$C$11*D12+Responses!$D$11*E12+Responses!$E$11*F12)/10</x:f>
        <x:v>-0.14873429999999996</x:v>
      </x:c>
      <x:c r="S12" s="4" t="n">
        <x:f>-(Responses!$C$12*D12+Responses!$D$12*E12+Responses!$E$12*F12)/10</x:f>
        <x:v>-0.1345525</x:v>
      </x:c>
    </x:row>
    <x:row r="13">
      <x:c r="A13" s="4" t="inlineStr">
        <x:is>
          <x:t xml:space="preserve">14|E</x:t>
        </x:is>
      </x:c>
      <x:c r="B13" s="4" t="n">
        <x:v>14</x:v>
      </x:c>
      <x:c r="C13" s="4" t="inlineStr">
        <x:is>
          <x:t xml:space="preserve">E</x:t>
        </x:is>
      </x:c>
      <x:c r="D13" s="4" t="n">
        <x:v>0.488061</x:v>
      </x:c>
      <x:c r="E13" s="4" t="n">
        <x:v>0.428617</x:v>
      </x:c>
      <x:c r="F13" s="4" t="n">
        <x:v>0</x:v>
      </x:c>
      <x:c r="G13" s="4" t="n">
        <x:v>9</x:v>
      </x:c>
      <x:c r="H13" s="4" t="n">
        <x:v>1</x:v>
      </x:c>
      <x:c r="I13" s="4" t="n">
        <x:v>0</x:v>
      </x:c>
      <x:c r="J13" s="4" t="n">
        <x:f>-(Responses!$C$3*D13+Responses!$D$3*E13+Responses!$E$3*F13)/10</x:f>
        <x:v>-0.36667120000000003</x:v>
      </x:c>
      <x:c r="K13" s="4" t="n">
        <x:f>-(Responses!$C$4*D13+Responses!$D$4*E13+Responses!$E$4*F13)/10</x:f>
        <x:v>-0.26905900000000005</x:v>
      </x:c>
      <x:c r="L13" s="4" t="n">
        <x:f>-(Responses!$C$5*D13+Responses!$D$5*E13+Responses!$E$5*F13)/10</x:f>
        <x:v>-0.3178651</x:v>
      </x:c>
      <x:c r="M13" s="4" t="n">
        <x:f>-(Responses!$C$6*D13+Responses!$D$6*E13+Responses!$E$6*F13)/10</x:f>
        <x:v>-0.32380950000000003</x:v>
      </x:c>
      <x:c r="N13" s="4" t="n">
        <x:f>-(Responses!$C$7*D13+Responses!$D$7*E13+Responses!$E$7*F13)/10</x:f>
        <x:v>-0.3607268</x:v>
      </x:c>
      <x:c r="O13" s="4" t="n">
        <x:f>-(Responses!$C$8*D13+Responses!$D$8*E13+Responses!$E$8*F13)/10</x:f>
        <x:v>-0.41547730000000005</x:v>
      </x:c>
      <x:c r="P13" s="4" t="n">
        <x:f>-(Responses!$C$9*D13+Responses!$D$9*E13+Responses!$E$9*F13)/10</x:f>
        <x:v>-0.3607268</x:v>
      </x:c>
      <x:c r="Q13" s="4" t="n">
        <x:f>-(Responses!$C$10*D13+Responses!$D$10*E13+Responses!$E$10*F13)/10</x:f>
        <x:v>-0.3607268</x:v>
      </x:c>
      <x:c r="R13" s="4" t="n">
        <x:f>-(Responses!$C$11*D13+Responses!$D$11*E13+Responses!$E$11*F13)/10</x:f>
        <x:v>-0.3607268</x:v>
      </x:c>
      <x:c r="S13" s="4" t="n">
        <x:f>-(Responses!$C$12*D13+Responses!$D$12*E13+Responses!$E$12*F13)/10</x:f>
        <x:v>-0.3178651</x:v>
      </x:c>
    </x:row>
    <x:row r="14">
      <x:c r="A14" s="4" t="inlineStr">
        <x:is>
          <x:t xml:space="preserve">14|F</x:t>
        </x:is>
      </x:c>
      <x:c r="B14" s="4" t="n">
        <x:v>14</x:v>
      </x:c>
      <x:c r="C14" s="4" t="inlineStr">
        <x:is>
          <x:t xml:space="preserve">F</x:t>
        </x:is>
      </x:c>
      <x:c r="D14" s="4" t="n">
        <x:v>1</x:v>
      </x:c>
      <x:c r="E14" s="4" t="n">
        <x:v>1</x:v>
      </x:c>
      <x:c r="F14" s="4" t="n">
        <x:v>0</x:v>
      </x:c>
      <x:c r="G14" s="4" t="n">
        <x:v>11</x:v>
      </x:c>
      <x:c r="H14" s="4" t="n">
        <x:v>1</x:v>
      </x:c>
      <x:c r="I14" s="4" t="n">
        <x:v>0</x:v>
      </x:c>
      <x:c r="J14" s="4" t="n">
        <x:f>-(Responses!$C$3*D14+Responses!$D$3*E14+Responses!$E$3*F14)/10</x:f>
        <x:v>-0.8</x:v>
      </x:c>
      <x:c r="K14" s="4" t="n">
        <x:f>-(Responses!$C$4*D14+Responses!$D$4*E14+Responses!$E$4*F14)/10</x:f>
        <x:v>-0.6</x:v>
      </x:c>
      <x:c r="L14" s="4" t="n">
        <x:f>-(Responses!$C$5*D14+Responses!$D$5*E14+Responses!$E$5*F14)/10</x:f>
        <x:v>-0.7</x:v>
      </x:c>
      <x:c r="M14" s="4" t="n">
        <x:f>-(Responses!$C$6*D14+Responses!$D$6*E14+Responses!$E$6*F14)/10</x:f>
        <x:v>-0.7</x:v>
      </x:c>
      <x:c r="N14" s="4" t="n">
        <x:f>-(Responses!$C$7*D14+Responses!$D$7*E14+Responses!$E$7*F14)/10</x:f>
        <x:v>-0.8</x:v>
      </x:c>
      <x:c r="O14" s="4" t="n">
        <x:f>-(Responses!$C$8*D14+Responses!$D$8*E14+Responses!$E$8*F14)/10</x:f>
        <x:v>-0.9</x:v>
      </x:c>
      <x:c r="P14" s="4" t="n">
        <x:f>-(Responses!$C$9*D14+Responses!$D$9*E14+Responses!$E$9*F14)/10</x:f>
        <x:v>-0.8</x:v>
      </x:c>
      <x:c r="Q14" s="4" t="n">
        <x:f>-(Responses!$C$10*D14+Responses!$D$10*E14+Responses!$E$10*F14)/10</x:f>
        <x:v>-0.8</x:v>
      </x:c>
      <x:c r="R14" s="4" t="n">
        <x:f>-(Responses!$C$11*D14+Responses!$D$11*E14+Responses!$E$11*F14)/10</x:f>
        <x:v>-0.8</x:v>
      </x:c>
      <x:c r="S14" s="4" t="n">
        <x:f>-(Responses!$C$12*D14+Responses!$D$12*E14+Responses!$E$12*F14)/10</x:f>
        <x:v>-0.7</x:v>
      </x:c>
    </x:row>
    <x:row r="15">
      <x:c r="A15" s="4" t="inlineStr">
        <x:is>
          <x:t xml:space="preserve">4|N</x:t>
        </x:is>
      </x:c>
      <x:c r="B15" s="4" t="n">
        <x:v>4</x:v>
      </x:c>
      <x:c r="C15" s="4" t="inlineStr">
        <x:is>
          <x:t xml:space="preserve">N</x:t>
        </x:is>
      </x:c>
      <x:c r="D15" s="4" t="n">
        <x:v>0.162787</x:v>
      </x:c>
      <x:c r="E15" s="4" t="n">
        <x:v>0.7783369999999999</x:v>
      </x:c>
      <x:c r="F15" s="4" t="n">
        <x:v>2.995116</x:v>
      </x:c>
      <x:c r="G15" s="4" t="n">
        <x:v>6</x:v>
      </x:c>
      <x:c r="H15" s="4" t="n">
        <x:v>0</x:v>
      </x:c>
      <x:c r="I15" s="4" t="n">
        <x:v>0</x:v>
      </x:c>
      <x:c r="J15" s="4" t="n">
        <x:f>-(Responses!$C$3*D15+Responses!$D$3*E15+Responses!$E$3*F15)/10</x:f>
        <x:v>-0.9754728</x:v>
      </x:c>
      <x:c r="K15" s="4" t="n">
        <x:f>-(Responses!$C$4*D15+Responses!$D$4*E15+Responses!$E$4*F15)/10</x:f>
        <x:v>-1.5419386</x:v>
      </x:c>
      <x:c r="L15" s="4" t="n">
        <x:f>-(Responses!$C$5*D15+Responses!$D$5*E15+Responses!$E$5*F15)/10</x:f>
        <x:v>-1.2587057</x:v>
      </x:c>
      <x:c r="M15" s="4" t="n">
        <x:f>-(Responses!$C$6*D15+Responses!$D$6*E15+Responses!$E$6*F15)/10</x:f>
        <x:v>-1.1971507</x:v>
      </x:c>
      <x:c r="N15" s="4" t="n">
        <x:f>-(Responses!$C$7*D15+Responses!$D$7*E15+Responses!$E$7*F15)/10</x:f>
        <x:v>-1.0370278</x:v>
      </x:c>
      <x:c r="O15" s="4" t="n">
        <x:f>-(Responses!$C$8*D15+Responses!$D$8*E15+Responses!$E$8*F15)/10</x:f>
        <x:v>-0.6922398999999999</x:v>
      </x:c>
      <x:c r="P15" s="4" t="n">
        <x:f>-(Responses!$C$9*D15+Responses!$D$9*E15+Responses!$E$9*F15)/10</x:f>
        <x:v>-1.0370278</x:v>
      </x:c>
      <x:c r="Q15" s="4" t="n">
        <x:f>-(Responses!$C$10*D15+Responses!$D$10*E15+Responses!$E$10*F15)/10</x:f>
        <x:v>-1.0370278</x:v>
      </x:c>
      <x:c r="R15" s="4" t="n">
        <x:f>-(Responses!$C$11*D15+Responses!$D$11*E15+Responses!$E$11*F15)/10</x:f>
        <x:v>-1.0370278</x:v>
      </x:c>
      <x:c r="S15" s="4" t="n">
        <x:f>-(Responses!$C$12*D15+Responses!$D$12*E15+Responses!$E$12*F15)/10</x:f>
        <x:v>-1.2587057</x:v>
      </x:c>
    </x:row>
    <x:row r="16">
      <x:c r="A16" s="4" t="inlineStr">
        <x:is>
          <x:t xml:space="preserve">4|A</x:t>
        </x:is>
      </x:c>
      <x:c r="B16" s="4" t="n">
        <x:v>4</x:v>
      </x:c>
      <x:c r="C16" s="4" t="inlineStr">
        <x:is>
          <x:t xml:space="preserve">A</x:t>
        </x:is>
      </x:c>
      <x:c r="D16" s="4" t="n">
        <x:v>0</x:v>
      </x:c>
      <x:c r="E16" s="4" t="n">
        <x:v>0.08791</x:v>
      </x:c>
      <x:c r="F16" s="4" t="n">
        <x:v>1</x:v>
      </x:c>
      <x:c r="G16" s="4" t="n">
        <x:v>7</x:v>
      </x:c>
      <x:c r="H16" s="4" t="n">
        <x:v>1</x:v>
      </x:c>
      <x:c r="I16" s="4" t="n">
        <x:v>1</x:v>
      </x:c>
      <x:c r="J16" s="4" t="n">
        <x:f>-(Responses!$C$3*D16+Responses!$D$3*E16+Responses!$E$3*F16)/10</x:f>
        <x:v>-0.235164</x:v>
      </x:c>
      <x:c r="K16" s="4" t="n">
        <x:f>-(Responses!$C$4*D16+Responses!$D$4*E16+Responses!$E$4*F16)/10</x:f>
        <x:v>-0.435164</x:v>
      </x:c>
      <x:c r="L16" s="4" t="n">
        <x:f>-(Responses!$C$5*D16+Responses!$D$5*E16+Responses!$E$5*F16)/10</x:f>
        <x:v>-0.335164</x:v>
      </x:c>
      <x:c r="M16" s="4" t="n">
        <x:f>-(Responses!$C$6*D16+Responses!$D$6*E16+Responses!$E$6*F16)/10</x:f>
        <x:v>-0.32637299999999997</x:v>
      </x:c>
      <x:c r="N16" s="4" t="n">
        <x:f>-(Responses!$C$7*D16+Responses!$D$7*E16+Responses!$E$7*F16)/10</x:f>
        <x:v>-0.243955</x:v>
      </x:c>
      <x:c r="O16" s="4" t="n">
        <x:f>-(Responses!$C$8*D16+Responses!$D$8*E16+Responses!$E$8*F16)/10</x:f>
        <x:v>-0.135164</x:v>
      </x:c>
      <x:c r="P16" s="4" t="n">
        <x:f>-(Responses!$C$9*D16+Responses!$D$9*E16+Responses!$E$9*F16)/10</x:f>
        <x:v>-0.243955</x:v>
      </x:c>
      <x:c r="Q16" s="4" t="n">
        <x:f>-(Responses!$C$10*D16+Responses!$D$10*E16+Responses!$E$10*F16)/10</x:f>
        <x:v>-0.243955</x:v>
      </x:c>
      <x:c r="R16" s="4" t="n">
        <x:f>-(Responses!$C$11*D16+Responses!$D$11*E16+Responses!$E$11*F16)/10</x:f>
        <x:v>-0.243955</x:v>
      </x:c>
      <x:c r="S16" s="4" t="n">
        <x:f>-(Responses!$C$12*D16+Responses!$D$12*E16+Responses!$E$12*F16)/10</x:f>
        <x:v>-0.335164</x:v>
      </x:c>
    </x:row>
    <x:row r="17">
      <x:c r="A17" s="4" t="inlineStr">
        <x:is>
          <x:t xml:space="preserve">4|B</x:t>
        </x:is>
      </x:c>
      <x:c r="B17" s="4" t="n">
        <x:v>4</x:v>
      </x:c>
      <x:c r="C17" s="4" t="inlineStr">
        <x:is>
          <x:t xml:space="preserve">B</x:t>
        </x:is>
      </x:c>
      <x:c r="D17" s="4" t="n">
        <x:v>0.160748</x:v>
      </x:c>
      <x:c r="E17" s="4" t="n">
        <x:v>0</x:v>
      </x:c>
      <x:c r="F17" s="4" t="n">
        <x:v>0.09191199999999999</x:v>
      </x:c>
      <x:c r="G17" s="4" t="n">
        <x:v>8</x:v>
      </x:c>
      <x:c r="H17" s="4" t="n">
        <x:v>1</x:v>
      </x:c>
      <x:c r="I17" s="4" t="n">
        <x:v>1</x:v>
      </x:c>
      <x:c r="J17" s="4" t="n">
        <x:f>-(Responses!$C$3*D17+Responses!$D$3*E17+Responses!$E$3*F17)/10</x:f>
        <x:v>-0.0826816</x:v>
      </x:c>
      <x:c r="K17" s="4" t="n">
        <x:f>-(Responses!$C$4*D17+Responses!$D$4*E17+Responses!$E$4*F17)/10</x:f>
        <x:v>-0.0689144</x:v>
      </x:c>
      <x:c r="L17" s="4" t="n">
        <x:f>-(Responses!$C$5*D17+Responses!$D$5*E17+Responses!$E$5*F17)/10</x:f>
        <x:v>-0.075798</x:v>
      </x:c>
      <x:c r="M17" s="4" t="n">
        <x:f>-(Responses!$C$6*D17+Responses!$D$6*E17+Responses!$E$6*F17)/10</x:f>
        <x:v>-0.0918728</x:v>
      </x:c>
      <x:c r="N17" s="4" t="n">
        <x:f>-(Responses!$C$7*D17+Responses!$D$7*E17+Responses!$E$7*F17)/10</x:f>
        <x:v>-0.0666068</x:v>
      </x:c>
      <x:c r="O17" s="4" t="n">
        <x:f>-(Responses!$C$8*D17+Responses!$D$8*E17+Responses!$E$8*F17)/10</x:f>
        <x:v>-0.0895652</x:v>
      </x:c>
      <x:c r="P17" s="4" t="n">
        <x:f>-(Responses!$C$9*D17+Responses!$D$9*E17+Responses!$E$9*F17)/10</x:f>
        <x:v>-0.0666068</x:v>
      </x:c>
      <x:c r="Q17" s="4" t="n">
        <x:f>-(Responses!$C$10*D17+Responses!$D$10*E17+Responses!$E$10*F17)/10</x:f>
        <x:v>-0.0666068</x:v>
      </x:c>
      <x:c r="R17" s="4" t="n">
        <x:f>-(Responses!$C$11*D17+Responses!$D$11*E17+Responses!$E$11*F17)/10</x:f>
        <x:v>-0.0666068</x:v>
      </x:c>
      <x:c r="S17" s="4" t="n">
        <x:f>-(Responses!$C$12*D17+Responses!$D$12*E17+Responses!$E$12*F17)/10</x:f>
        <x:v>-0.075798</x:v>
      </x:c>
    </x:row>
    <x:row r="18">
      <x:c r="A18" s="4" t="inlineStr">
        <x:is>
          <x:t xml:space="preserve">4|C</x:t>
        </x:is>
      </x:c>
      <x:c r="B18" s="4" t="n">
        <x:v>4</x:v>
      </x:c>
      <x:c r="C18" s="4" t="inlineStr">
        <x:is>
          <x:t xml:space="preserve">C</x:t>
        </x:is>
      </x:c>
      <x:c r="D18" s="4" t="n">
        <x:v>0.429379</x:v>
      </x:c>
      <x:c r="E18" s="4" t="n">
        <x:v>0.295413</x:v>
      </x:c>
      <x:c r="F18" s="4" t="n">
        <x:v>0.002996</x:v>
      </x:c>
      <x:c r="G18" s="4" t="n">
        <x:v>9</x:v>
      </x:c>
      <x:c r="H18" s="4" t="n">
        <x:v>1</x:v>
      </x:c>
      <x:c r="I18" s="4" t="n">
        <x:v>0</x:v>
      </x:c>
      <x:c r="J18" s="4" t="n">
        <x:f>-(Responses!$C$3*D18+Responses!$D$3*E18+Responses!$E$3*F18)/10</x:f>
        <x:v>-0.290516</x:v>
      </x:c>
      <x:c r="K18" s="4" t="n">
        <x:f>-(Responses!$C$4*D18+Responses!$D$4*E18+Responses!$E$4*F18)/10</x:f>
        <x:v>-0.20523940000000002</x:v>
      </x:c>
      <x:c r="L18" s="4" t="n">
        <x:f>-(Responses!$C$5*D18+Responses!$D$5*E18+Responses!$E$5*F18)/10</x:f>
        <x:v>-0.2478777</x:v>
      </x:c>
      <x:c r="M18" s="4" t="n">
        <x:f>-(Responses!$C$6*D18+Responses!$D$6*E18+Responses!$E$6*F18)/10</x:f>
        <x:v>-0.2612743</x:v>
      </x:c>
      <x:c r="N18" s="4" t="n">
        <x:f>-(Responses!$C$7*D18+Responses!$D$7*E18+Responses!$E$7*F18)/10</x:f>
        <x:v>-0.2771194</x:v>
      </x:c>
      <x:c r="O18" s="4" t="n">
        <x:f>-(Responses!$C$8*D18+Responses!$D$8*E18+Responses!$E$8*F18)/10</x:f>
        <x:v>-0.3331543</x:v>
      </x:c>
      <x:c r="P18" s="4" t="n">
        <x:f>-(Responses!$C$9*D18+Responses!$D$9*E18+Responses!$E$9*F18)/10</x:f>
        <x:v>-0.2771194</x:v>
      </x:c>
      <x:c r="Q18" s="4" t="n">
        <x:f>-(Responses!$C$10*D18+Responses!$D$10*E18+Responses!$E$10*F18)/10</x:f>
        <x:v>-0.2771194</x:v>
      </x:c>
      <x:c r="R18" s="4" t="n">
        <x:f>-(Responses!$C$11*D18+Responses!$D$11*E18+Responses!$E$11*F18)/10</x:f>
        <x:v>-0.2771194</x:v>
      </x:c>
      <x:c r="S18" s="4" t="n">
        <x:f>-(Responses!$C$12*D18+Responses!$D$12*E18+Responses!$E$12*F18)/10</x:f>
        <x:v>-0.2478777</x:v>
      </x:c>
    </x:row>
    <x:row r="19">
      <x:c r="A19" s="4" t="inlineStr">
        <x:is>
          <x:t xml:space="preserve">4|D</x:t>
        </x:is>
      </x:c>
      <x:c r="B19" s="4" t="n">
        <x:v>4</x:v>
      </x:c>
      <x:c r="C19" s="4" t="inlineStr">
        <x:is>
          <x:t xml:space="preserve">D</x:t>
        </x:is>
      </x:c>
      <x:c r="D19" s="4" t="n">
        <x:v>0.7144779999999999</x:v>
      </x:c>
      <x:c r="E19" s="4" t="n">
        <x:v>0.646833</x:v>
      </x:c>
      <x:c r="F19" s="4" t="n">
        <x:v>0</x:v>
      </x:c>
      <x:c r="G19" s="4" t="n">
        <x:v>10</x:v>
      </x:c>
      <x:c r="H19" s="4" t="n">
        <x:v>1</x:v>
      </x:c>
      <x:c r="I19" s="4" t="n">
        <x:v>0</x:v>
      </x:c>
      <x:c r="J19" s="4" t="n">
        <x:f>-(Responses!$C$3*D19+Responses!$D$3*E19+Responses!$E$3*F19)/10</x:f>
        <x:v>-0.5445244</x:v>
      </x:c>
      <x:c r="K19" s="4" t="n">
        <x:f>-(Responses!$C$4*D19+Responses!$D$4*E19+Responses!$E$4*F19)/10</x:f>
        <x:v>-0.40162879999999995</x:v>
      </x:c>
      <x:c r="L19" s="4" t="n">
        <x:f>-(Responses!$C$5*D19+Responses!$D$5*E19+Responses!$E$5*F19)/10</x:f>
        <x:v>-0.4730766</x:v>
      </x:c>
      <x:c r="M19" s="4" t="n">
        <x:f>-(Responses!$C$6*D19+Responses!$D$6*E19+Responses!$E$6*F19)/10</x:f>
        <x:v>-0.47984109999999996</x:v>
      </x:c>
      <x:c r="N19" s="4" t="n">
        <x:f>-(Responses!$C$7*D19+Responses!$D$7*E19+Responses!$E$7*F19)/10</x:f>
        <x:v>-0.5377599</x:v>
      </x:c>
      <x:c r="O19" s="4" t="n">
        <x:f>-(Responses!$C$8*D19+Responses!$D$8*E19+Responses!$E$8*F19)/10</x:f>
        <x:v>-0.6159722</x:v>
      </x:c>
      <x:c r="P19" s="4" t="n">
        <x:f>-(Responses!$C$9*D19+Responses!$D$9*E19+Responses!$E$9*F19)/10</x:f>
        <x:v>-0.5377599</x:v>
      </x:c>
      <x:c r="Q19" s="4" t="n">
        <x:f>-(Responses!$C$10*D19+Responses!$D$10*E19+Responses!$E$10*F19)/10</x:f>
        <x:v>-0.5377599</x:v>
      </x:c>
      <x:c r="R19" s="4" t="n">
        <x:f>-(Responses!$C$11*D19+Responses!$D$11*E19+Responses!$E$11*F19)/10</x:f>
        <x:v>-0.5377599</x:v>
      </x:c>
      <x:c r="S19" s="4" t="n">
        <x:f>-(Responses!$C$12*D19+Responses!$D$12*E19+Responses!$E$12*F19)/10</x:f>
        <x:v>-0.4730766</x:v>
      </x:c>
    </x:row>
    <x:row r="20">
      <x:c r="A20" s="4" t="inlineStr">
        <x:is>
          <x:t xml:space="preserve">4|E</x:t>
        </x:is>
      </x:c>
      <x:c r="B20" s="4" t="n">
        <x:v>4</x:v>
      </x:c>
      <x:c r="C20" s="4" t="inlineStr">
        <x:is>
          <x:t xml:space="preserve">E</x:t>
        </x:is>
      </x:c>
      <x:c r="D20" s="4" t="n">
        <x:v>1</x:v>
      </x:c>
      <x:c r="E20" s="4" t="n">
        <x:v>1</x:v>
      </x:c>
      <x:c r="F20" s="4" t="n">
        <x:v>0</x:v>
      </x:c>
      <x:c r="G20" s="4" t="n">
        <x:v>11</x:v>
      </x:c>
      <x:c r="H20" s="4" t="n">
        <x:v>1</x:v>
      </x:c>
      <x:c r="I20" s="4" t="n">
        <x:v>0</x:v>
      </x:c>
      <x:c r="J20" s="4" t="n">
        <x:f>-(Responses!$C$3*D20+Responses!$D$3*E20+Responses!$E$3*F20)/10</x:f>
        <x:v>-0.8</x:v>
      </x:c>
      <x:c r="K20" s="4" t="n">
        <x:f>-(Responses!$C$4*D20+Responses!$D$4*E20+Responses!$E$4*F20)/10</x:f>
        <x:v>-0.6</x:v>
      </x:c>
      <x:c r="L20" s="4" t="n">
        <x:f>-(Responses!$C$5*D20+Responses!$D$5*E20+Responses!$E$5*F20)/10</x:f>
        <x:v>-0.7</x:v>
      </x:c>
      <x:c r="M20" s="4" t="n">
        <x:f>-(Responses!$C$6*D20+Responses!$D$6*E20+Responses!$E$6*F20)/10</x:f>
        <x:v>-0.7</x:v>
      </x:c>
      <x:c r="N20" s="4" t="n">
        <x:f>-(Responses!$C$7*D20+Responses!$D$7*E20+Responses!$E$7*F20)/10</x:f>
        <x:v>-0.8</x:v>
      </x:c>
      <x:c r="O20" s="4" t="n">
        <x:f>-(Responses!$C$8*D20+Responses!$D$8*E20+Responses!$E$8*F20)/10</x:f>
        <x:v>-0.9</x:v>
      </x:c>
      <x:c r="P20" s="4" t="n">
        <x:f>-(Responses!$C$9*D20+Responses!$D$9*E20+Responses!$E$9*F20)/10</x:f>
        <x:v>-0.8</x:v>
      </x:c>
      <x:c r="Q20" s="4" t="n">
        <x:f>-(Responses!$C$10*D20+Responses!$D$10*E20+Responses!$E$10*F20)/10</x:f>
        <x:v>-0.8</x:v>
      </x:c>
      <x:c r="R20" s="4" t="n">
        <x:f>-(Responses!$C$11*D20+Responses!$D$11*E20+Responses!$E$11*F20)/10</x:f>
        <x:v>-0.8</x:v>
      </x:c>
      <x:c r="S20" s="4" t="n">
        <x:f>-(Responses!$C$12*D20+Responses!$D$12*E20+Responses!$E$12*F20)/10</x:f>
        <x:v>-0.7</x:v>
      </x:c>
    </x:row>
    <x:row r="21">
      <x:c r="A21" s="4" t="inlineStr">
        <x:is>
          <x:t xml:space="preserve">9|N</x:t>
        </x:is>
      </x:c>
      <x:c r="B21" s="4" t="n">
        <x:v>9</x:v>
      </x:c>
      <x:c r="C21" s="4" t="inlineStr">
        <x:is>
          <x:t xml:space="preserve">N</x:t>
        </x:is>
      </x:c>
      <x:c r="D21" s="4" t="n">
        <x:v>0.584681</x:v>
      </x:c>
      <x:c r="E21" s="4" t="n">
        <x:v>1.887675</x:v>
      </x:c>
      <x:c r="F21" s="4" t="n">
        <x:v>1.380814</x:v>
      </x:c>
      <x:c r="G21" s="4" t="n">
        <x:v>6</x:v>
      </x:c>
      <x:c r="H21" s="4" t="n">
        <x:v>0</x:v>
      </x:c>
      <x:c r="I21" s="4" t="n">
        <x:v>0</x:v>
      </x:c>
      <x:c r="J21" s="4" t="n">
        <x:f>-(Responses!$C$3*D21+Responses!$D$3*E21+Responses!$E$3*F21)/10</x:f>
        <x:v>-1.2651052</x:v>
      </x:c>
      <x:c r="K21" s="4" t="n">
        <x:f>-(Responses!$C$4*D21+Responses!$D$4*E21+Responses!$E$4*F21)/10</x:f>
        <x:v>-1.4243318</x:v>
      </x:c>
      <x:c r="L21" s="4" t="n">
        <x:f>-(Responses!$C$5*D21+Responses!$D$5*E21+Responses!$E$5*F21)/10</x:f>
        <x:v>-1.3447185000000001</x:v>
      </x:c>
      <x:c r="M21" s="4" t="n">
        <x:f>-(Responses!$C$6*D21+Responses!$D$6*E21+Responses!$E$6*F21)/10</x:f>
        <x:v>-1.2144191</x:v>
      </x:c>
      <x:c r="N21" s="4" t="n">
        <x:f>-(Responses!$C$7*D21+Responses!$D$7*E21+Responses!$E$7*F21)/10</x:f>
        <x:v>-1.3954046</x:v>
      </x:c>
      <x:c r="O21" s="4" t="n">
        <x:f>-(Responses!$C$8*D21+Responses!$D$8*E21+Responses!$E$8*F21)/10</x:f>
        <x:v>-1.1854919</x:v>
      </x:c>
      <x:c r="P21" s="4" t="n">
        <x:f>-(Responses!$C$9*D21+Responses!$D$9*E21+Responses!$E$9*F21)/10</x:f>
        <x:v>-1.3954046</x:v>
      </x:c>
      <x:c r="Q21" s="4" t="n">
        <x:f>-(Responses!$C$10*D21+Responses!$D$10*E21+Responses!$E$10*F21)/10</x:f>
        <x:v>-1.3954046</x:v>
      </x:c>
      <x:c r="R21" s="4" t="n">
        <x:f>-(Responses!$C$11*D21+Responses!$D$11*E21+Responses!$E$11*F21)/10</x:f>
        <x:v>-1.3954046</x:v>
      </x:c>
      <x:c r="S21" s="4" t="n">
        <x:f>-(Responses!$C$12*D21+Responses!$D$12*E21+Responses!$E$12*F21)/10</x:f>
        <x:v>-1.3447185000000001</x:v>
      </x:c>
    </x:row>
    <x:row r="22">
      <x:c r="A22" s="4" t="inlineStr">
        <x:is>
          <x:t xml:space="preserve">9|A</x:t>
        </x:is>
      </x:c>
      <x:c r="B22" s="4" t="n">
        <x:v>9</x:v>
      </x:c>
      <x:c r="C22" s="4" t="inlineStr">
        <x:is>
          <x:t xml:space="preserve">A</x:t>
        </x:is>
      </x:c>
      <x:c r="D22" s="4" t="n">
        <x:v>0</x:v>
      </x:c>
      <x:c r="E22" s="4" t="n">
        <x:v>0.850876</x:v>
      </x:c>
      <x:c r="F22" s="4" t="n">
        <x:v>1</x:v>
      </x:c>
      <x:c r="G22" s="4" t="n">
        <x:v>6</x:v>
      </x:c>
      <x:c r="H22" s="4" t="n">
        <x:v>1</x:v>
      </x:c>
      <x:c r="I22" s="4" t="n">
        <x:v>1</x:v>
      </x:c>
      <x:c r="J22" s="4" t="n">
        <x:f>-(Responses!$C$3*D22+Responses!$D$3*E22+Responses!$E$3*F22)/10</x:f>
        <x:v>-0.5403504</x:v>
      </x:c>
      <x:c r="K22" s="4" t="n">
        <x:f>-(Responses!$C$4*D22+Responses!$D$4*E22+Responses!$E$4*F22)/10</x:f>
        <x:v>-0.7403504</x:v>
      </x:c>
      <x:c r="L22" s="4" t="n">
        <x:f>-(Responses!$C$5*D22+Responses!$D$5*E22+Responses!$E$5*F22)/10</x:f>
        <x:v>-0.6403504</x:v>
      </x:c>
      <x:c r="M22" s="4" t="n">
        <x:f>-(Responses!$C$6*D22+Responses!$D$6*E22+Responses!$E$6*F22)/10</x:f>
        <x:v>-0.5552628000000001</x:v>
      </x:c>
      <x:c r="N22" s="4" t="n">
        <x:f>-(Responses!$C$7*D22+Responses!$D$7*E22+Responses!$E$7*F22)/10</x:f>
        <x:v>-0.6254379999999999</x:v>
      </x:c>
      <x:c r="O22" s="4" t="n">
        <x:f>-(Responses!$C$8*D22+Responses!$D$8*E22+Responses!$E$8*F22)/10</x:f>
        <x:v>-0.4403504</x:v>
      </x:c>
      <x:c r="P22" s="4" t="n">
        <x:f>-(Responses!$C$9*D22+Responses!$D$9*E22+Responses!$E$9*F22)/10</x:f>
        <x:v>-0.6254379999999999</x:v>
      </x:c>
      <x:c r="Q22" s="4" t="n">
        <x:f>-(Responses!$C$10*D22+Responses!$D$10*E22+Responses!$E$10*F22)/10</x:f>
        <x:v>-0.6254379999999999</x:v>
      </x:c>
      <x:c r="R22" s="4" t="n">
        <x:f>-(Responses!$C$11*D22+Responses!$D$11*E22+Responses!$E$11*F22)/10</x:f>
        <x:v>-0.6254379999999999</x:v>
      </x:c>
      <x:c r="S22" s="4" t="n">
        <x:f>-(Responses!$C$12*D22+Responses!$D$12*E22+Responses!$E$12*F22)/10</x:f>
        <x:v>-0.6403504</x:v>
      </x:c>
    </x:row>
    <x:row r="23">
      <x:c r="A23" s="4" t="inlineStr">
        <x:is>
          <x:t xml:space="preserve">9|B</x:t>
        </x:is>
      </x:c>
      <x:c r="B23" s="4" t="n">
        <x:v>9</x:v>
      </x:c>
      <x:c r="C23" s="4" t="inlineStr">
        <x:is>
          <x:t xml:space="preserve">B</x:t>
        </x:is>
      </x:c>
      <x:c r="D23" s="4" t="n">
        <x:v>0.045408</x:v>
      </x:c>
      <x:c r="E23" s="4" t="n">
        <x:v>0.836803</x:v>
      </x:c>
      <x:c r="F23" s="4" t="n">
        <x:v>0.951886</x:v>
      </x:c>
      <x:c r="G23" s="4" t="n">
        <x:v>6</x:v>
      </x:c>
      <x:c r="H23" s="4" t="n">
        <x:v>1</x:v>
      </x:c>
      <x:c r="I23" s="4" t="n">
        <x:v>0</x:v>
      </x:c>
      <x:c r="J23" s="4" t="n">
        <x:f>-(Responses!$C$3*D23+Responses!$D$3*E23+Responses!$E$3*F23)/10</x:f>
        <x:v>-0.5432615999999999</x:v>
      </x:c>
      <x:c r="K23" s="4" t="n">
        <x:f>-(Responses!$C$4*D23+Responses!$D$4*E23+Responses!$E$4*F23)/10</x:f>
        <x:v>-0.7245571999999999</x:v>
      </x:c>
      <x:c r="L23" s="4" t="n">
        <x:f>-(Responses!$C$5*D23+Responses!$D$5*E23+Responses!$E$5*F23)/10</x:f>
        <x:v>-0.6339094</x:v>
      </x:c>
      <x:c r="M23" s="4" t="n">
        <x:f>-(Responses!$C$6*D23+Responses!$D$6*E23+Responses!$E$6*F23)/10</x:f>
        <x:v>-0.5547698999999999</x:v>
      </x:c>
      <x:c r="N23" s="4" t="n">
        <x:f>-(Responses!$C$7*D23+Responses!$D$7*E23+Responses!$E$7*F23)/10</x:f>
        <x:v>-0.6224011</x:v>
      </x:c>
      <x:c r="O23" s="4" t="n">
        <x:f>-(Responses!$C$8*D23+Responses!$D$8*E23+Responses!$E$8*F23)/10</x:f>
        <x:v>-0.45261379999999996</x:v>
      </x:c>
      <x:c r="P23" s="4" t="n">
        <x:f>-(Responses!$C$9*D23+Responses!$D$9*E23+Responses!$E$9*F23)/10</x:f>
        <x:v>-0.6224011</x:v>
      </x:c>
      <x:c r="Q23" s="4" t="n">
        <x:f>-(Responses!$C$10*D23+Responses!$D$10*E23+Responses!$E$10*F23)/10</x:f>
        <x:v>-0.6224011</x:v>
      </x:c>
      <x:c r="R23" s="4" t="n">
        <x:f>-(Responses!$C$11*D23+Responses!$D$11*E23+Responses!$E$11*F23)/10</x:f>
        <x:v>-0.6224011</x:v>
      </x:c>
      <x:c r="S23" s="4" t="n">
        <x:f>-(Responses!$C$12*D23+Responses!$D$12*E23+Responses!$E$12*F23)/10</x:f>
        <x:v>-0.6339094</x:v>
      </x:c>
    </x:row>
    <x:row r="24">
      <x:c r="A24" s="4" t="inlineStr">
        <x:is>
          <x:t xml:space="preserve">9|C</x:t>
        </x:is>
      </x:c>
      <x:c r="B24" s="4" t="n">
        <x:v>9</x:v>
      </x:c>
      <x:c r="C24" s="4" t="inlineStr">
        <x:is>
          <x:t xml:space="preserve">C</x:t>
        </x:is>
      </x:c>
      <x:c r="D24" s="4" t="n">
        <x:v>0.06768299999999999</x:v>
      </x:c>
      <x:c r="E24" s="4" t="n">
        <x:v>0</x:v>
      </x:c>
      <x:c r="F24" s="4" t="n">
        <x:v>0.181363</x:v>
      </x:c>
      <x:c r="G24" s="4" t="n">
        <x:v>7</x:v>
      </x:c>
      <x:c r="H24" s="4" t="n">
        <x:v>1</x:v>
      </x:c>
      <x:c r="I24" s="4" t="n">
        <x:v>1</x:v>
      </x:c>
      <x:c r="J24" s="4" t="n">
        <x:f>-(Responses!$C$3*D24+Responses!$D$3*E24+Responses!$E$3*F24)/10</x:f>
        <x:v>-0.0633458</x:v>
      </x:c>
      <x:c r="K24" s="4" t="n">
        <x:f>-(Responses!$C$4*D24+Responses!$D$4*E24+Responses!$E$4*F24)/10</x:f>
        <x:v>-0.0860818</x:v>
      </x:c>
      <x:c r="L24" s="4" t="n">
        <x:f>-(Responses!$C$5*D24+Responses!$D$5*E24+Responses!$E$5*F24)/10</x:f>
        <x:v>-0.07471380000000001</x:v>
      </x:c>
      <x:c r="M24" s="4" t="n">
        <x:f>-(Responses!$C$6*D24+Responses!$D$6*E24+Responses!$E$6*F24)/10</x:f>
        <x:v>-0.0814821</x:v>
      </x:c>
      <x:c r="N24" s="4" t="n">
        <x:f>-(Responses!$C$7*D24+Responses!$D$7*E24+Responses!$E$7*F24)/10</x:f>
        <x:v>-0.05657749999999999</x:v>
      </x:c>
      <x:c r="O24" s="4" t="n">
        <x:f>-(Responses!$C$8*D24+Responses!$D$8*E24+Responses!$E$8*F24)/10</x:f>
        <x:v>-0.0519778</x:v>
      </x:c>
      <x:c r="P24" s="4" t="n">
        <x:f>-(Responses!$C$9*D24+Responses!$D$9*E24+Responses!$E$9*F24)/10</x:f>
        <x:v>-0.05657749999999999</x:v>
      </x:c>
      <x:c r="Q24" s="4" t="n">
        <x:f>-(Responses!$C$10*D24+Responses!$D$10*E24+Responses!$E$10*F24)/10</x:f>
        <x:v>-0.05657749999999999</x:v>
      </x:c>
      <x:c r="R24" s="4" t="n">
        <x:f>-(Responses!$C$11*D24+Responses!$D$11*E24+Responses!$E$11*F24)/10</x:f>
        <x:v>-0.05657749999999999</x:v>
      </x:c>
      <x:c r="S24" s="4" t="n">
        <x:f>-(Responses!$C$12*D24+Responses!$D$12*E24+Responses!$E$12*F24)/10</x:f>
        <x:v>-0.07471380000000001</x:v>
      </x:c>
    </x:row>
    <x:row r="25">
      <x:c r="A25" s="4" t="inlineStr">
        <x:is>
          <x:t xml:space="preserve">9|D</x:t>
        </x:is>
      </x:c>
      <x:c r="B25" s="4" t="n">
        <x:v>9</x:v>
      </x:c>
      <x:c r="C25" s="4" t="inlineStr">
        <x:is>
          <x:t xml:space="preserve">D</x:t>
        </x:is>
      </x:c>
      <x:c r="D25" s="4" t="n">
        <x:v>0.497383</x:v>
      </x:c>
      <x:c r="E25" s="4" t="n">
        <x:v>0.321478</x:v>
      </x:c>
      <x:c r="F25" s="4" t="n">
        <x:v>0.004004</x:v>
      </x:c>
      <x:c r="G25" s="4" t="n">
        <x:v>8</x:v>
      </x:c>
      <x:c r="H25" s="4" t="n">
        <x:v>1</x:v>
      </x:c>
      <x:c r="I25" s="4" t="n">
        <x:v>0</x:v>
      </x:c>
      <x:c r="J25" s="4" t="n">
        <x:f>-(Responses!$C$3*D25+Responses!$D$3*E25+Responses!$E$3*F25)/10</x:f>
        <x:v>-0.3283452</x:v>
      </x:c>
      <x:c r="K25" s="4" t="n">
        <x:f>-(Responses!$C$4*D25+Responses!$D$4*E25+Responses!$E$4*F25)/10</x:f>
        <x:v>-0.2296694</x:v>
      </x:c>
      <x:c r="L25" s="4" t="n">
        <x:f>-(Responses!$C$5*D25+Responses!$D$5*E25+Responses!$E$5*F25)/10</x:f>
        <x:v>-0.2790073</x:v>
      </x:c>
      <x:c r="M25" s="4" t="n">
        <x:f>-(Responses!$C$6*D25+Responses!$D$6*E25+Responses!$E$6*F25)/10</x:f>
        <x:v>-0.2965978</x:v>
      </x:c>
      <x:c r="N25" s="4" t="n">
        <x:f>-(Responses!$C$7*D25+Responses!$D$7*E25+Responses!$E$7*F25)/10</x:f>
        <x:v>-0.3107547</x:v>
      </x:c>
      <x:c r="O25" s="4" t="n">
        <x:f>-(Responses!$C$8*D25+Responses!$D$8*E25+Responses!$E$8*F25)/10</x:f>
        <x:v>-0.37768310000000005</x:v>
      </x:c>
      <x:c r="P25" s="4" t="n">
        <x:f>-(Responses!$C$9*D25+Responses!$D$9*E25+Responses!$E$9*F25)/10</x:f>
        <x:v>-0.3107547</x:v>
      </x:c>
      <x:c r="Q25" s="4" t="n">
        <x:f>-(Responses!$C$10*D25+Responses!$D$10*E25+Responses!$E$10*F25)/10</x:f>
        <x:v>-0.3107547</x:v>
      </x:c>
      <x:c r="R25" s="4" t="n">
        <x:f>-(Responses!$C$11*D25+Responses!$D$11*E25+Responses!$E$11*F25)/10</x:f>
        <x:v>-0.3107547</x:v>
      </x:c>
      <x:c r="S25" s="4" t="n">
        <x:f>-(Responses!$C$12*D25+Responses!$D$12*E25+Responses!$E$12*F25)/10</x:f>
        <x:v>-0.2790073</x:v>
      </x:c>
    </x:row>
    <x:row r="26">
      <x:c r="A26" s="4" t="inlineStr">
        <x:is>
          <x:t xml:space="preserve">9|E</x:t>
        </x:is>
      </x:c>
      <x:c r="B26" s="4" t="n">
        <x:v>9</x:v>
      </x:c>
      <x:c r="C26" s="4" t="inlineStr">
        <x:is>
          <x:t xml:space="preserve">E</x:t>
        </x:is>
      </x:c>
      <x:c r="D26" s="4" t="n">
        <x:v>1</x:v>
      </x:c>
      <x:c r="E26" s="4" t="n">
        <x:v>1</x:v>
      </x:c>
      <x:c r="F26" s="4" t="n">
        <x:v>0</x:v>
      </x:c>
      <x:c r="G26" s="4" t="n">
        <x:v>9</x:v>
      </x:c>
      <x:c r="H26" s="4" t="n">
        <x:v>1</x:v>
      </x:c>
      <x:c r="I26" s="4" t="n">
        <x:v>0</x:v>
      </x:c>
      <x:c r="J26" s="4" t="n">
        <x:f>-(Responses!$C$3*D26+Responses!$D$3*E26+Responses!$E$3*F26)/10</x:f>
        <x:v>-0.8</x:v>
      </x:c>
      <x:c r="K26" s="4" t="n">
        <x:f>-(Responses!$C$4*D26+Responses!$D$4*E26+Responses!$E$4*F26)/10</x:f>
        <x:v>-0.6</x:v>
      </x:c>
      <x:c r="L26" s="4" t="n">
        <x:f>-(Responses!$C$5*D26+Responses!$D$5*E26+Responses!$E$5*F26)/10</x:f>
        <x:v>-0.7</x:v>
      </x:c>
      <x:c r="M26" s="4" t="n">
        <x:f>-(Responses!$C$6*D26+Responses!$D$6*E26+Responses!$E$6*F26)/10</x:f>
        <x:v>-0.7</x:v>
      </x:c>
      <x:c r="N26" s="4" t="n">
        <x:f>-(Responses!$C$7*D26+Responses!$D$7*E26+Responses!$E$7*F26)/10</x:f>
        <x:v>-0.8</x:v>
      </x:c>
      <x:c r="O26" s="4" t="n">
        <x:f>-(Responses!$C$8*D26+Responses!$D$8*E26+Responses!$E$8*F26)/10</x:f>
        <x:v>-0.9</x:v>
      </x:c>
      <x:c r="P26" s="4" t="n">
        <x:f>-(Responses!$C$9*D26+Responses!$D$9*E26+Responses!$E$9*F26)/10</x:f>
        <x:v>-0.8</x:v>
      </x:c>
      <x:c r="Q26" s="4" t="n">
        <x:f>-(Responses!$C$10*D26+Responses!$D$10*E26+Responses!$E$10*F26)/10</x:f>
        <x:v>-0.8</x:v>
      </x:c>
      <x:c r="R26" s="4" t="n">
        <x:f>-(Responses!$C$11*D26+Responses!$D$11*E26+Responses!$E$11*F26)/10</x:f>
        <x:v>-0.8</x:v>
      </x:c>
      <x:c r="S26" s="4" t="n">
        <x:f>-(Responses!$C$12*D26+Responses!$D$12*E26+Responses!$E$12*F26)/10</x:f>
        <x:v>-0.7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14" customWidth="1"/>
    <x:col min="2" max="2" width="8" customWidth="1"/>
    <x:col min="3" max="3" width="6" customWidth="1"/>
    <x:col min="4" max="4" width="12" customWidth="1"/>
  </x:cols>
  <x:sheetData>
    <x:row r="1">
      <x:c r="A1" s="3" t="inlineStr">
        <x:is>
          <x:t xml:space="preserve">Key (instance*100+θ*10)</x:t>
        </x:is>
      </x:c>
      <x:c r="B1" s="3" t="inlineStr">
        <x:is>
          <x:t xml:space="preserve">Instance</x:t>
        </x:is>
      </x:c>
      <x:c r="C1" s="3" t="inlineStr">
        <x:is>
          <x:t xml:space="preserve">θ</x:t>
        </x:is>
      </x:c>
      <x:c r="D1" s="3" t="inlineStr">
        <x:is>
          <x:t xml:space="preserve">Recommended label</x:t>
        </x:is>
      </x:c>
    </x:row>
    <x:row r="2">
      <x:c r="A2" s="4" t="n">
        <x:v>1201</x:v>
      </x:c>
      <x:c r="B2" s="4" t="n">
        <x:v>12</x:v>
      </x:c>
      <x:c r="C2" s="4" t="n">
        <x:v>0.1</x:v>
      </x:c>
      <x:c r="D2" s="4" t="inlineStr">
        <x:is>
          <x:t xml:space="preserve">A</x:t>
        </x:is>
      </x:c>
    </x:row>
    <x:row r="3">
      <x:c r="A3" s="4" t="n">
        <x:v>1202</x:v>
      </x:c>
      <x:c r="B3" s="4" t="n">
        <x:v>12</x:v>
      </x:c>
      <x:c r="C3" s="4" t="n">
        <x:v>0.2</x:v>
      </x:c>
      <x:c r="D3" s="4" t="inlineStr">
        <x:is>
          <x:t xml:space="preserve">A</x:t>
        </x:is>
      </x:c>
    </x:row>
    <x:row r="4">
      <x:c r="A4" s="4" t="n">
        <x:v>1203</x:v>
      </x:c>
      <x:c r="B4" s="4" t="n">
        <x:v>12</x:v>
      </x:c>
      <x:c r="C4" s="4" t="n">
        <x:v>0.3</x:v>
      </x:c>
      <x:c r="D4" s="4" t="inlineStr">
        <x:is>
          <x:t xml:space="preserve">A</x:t>
        </x:is>
      </x:c>
    </x:row>
    <x:row r="5">
      <x:c r="A5" s="4" t="n">
        <x:v>1204</x:v>
      </x:c>
      <x:c r="B5" s="4" t="n">
        <x:v>12</x:v>
      </x:c>
      <x:c r="C5" s="4" t="n">
        <x:v>0.4</x:v>
      </x:c>
      <x:c r="D5" s="4" t="inlineStr">
        <x:is>
          <x:t xml:space="preserve">A</x:t>
        </x:is>
      </x:c>
    </x:row>
    <x:row r="6">
      <x:c r="A6" s="4" t="n">
        <x:v>1205</x:v>
      </x:c>
      <x:c r="B6" s="4" t="n">
        <x:v>12</x:v>
      </x:c>
      <x:c r="C6" s="4" t="n">
        <x:v>0.5</x:v>
      </x:c>
      <x:c r="D6" s="4" t="inlineStr">
        <x:is>
          <x:t xml:space="preserve">A</x:t>
        </x:is>
      </x:c>
    </x:row>
    <x:row r="7">
      <x:c r="A7" s="4" t="n">
        <x:v>1206</x:v>
      </x:c>
      <x:c r="B7" s="4" t="n">
        <x:v>12</x:v>
      </x:c>
      <x:c r="C7" s="4" t="n">
        <x:v>0.6</x:v>
      </x:c>
      <x:c r="D7" s="4" t="inlineStr">
        <x:is>
          <x:t xml:space="preserve">A</x:t>
        </x:is>
      </x:c>
    </x:row>
    <x:row r="8">
      <x:c r="A8" s="4" t="n">
        <x:v>1207</x:v>
      </x:c>
      <x:c r="B8" s="4" t="n">
        <x:v>12</x:v>
      </x:c>
      <x:c r="C8" s="4" t="n">
        <x:v>0.7</x:v>
      </x:c>
      <x:c r="D8" s="4" t="inlineStr">
        <x:is>
          <x:t xml:space="preserve">B</x:t>
        </x:is>
      </x:c>
    </x:row>
    <x:row r="9">
      <x:c r="A9" s="4" t="n">
        <x:v>1208</x:v>
      </x:c>
      <x:c r="B9" s="4" t="n">
        <x:v>12</x:v>
      </x:c>
      <x:c r="C9" s="4" t="n">
        <x:v>0.8</x:v>
      </x:c>
      <x:c r="D9" s="4" t="inlineStr">
        <x:is>
          <x:t xml:space="preserve">C</x:t>
        </x:is>
      </x:c>
    </x:row>
    <x:row r="10">
      <x:c r="A10" s="4" t="n">
        <x:v>1209</x:v>
      </x:c>
      <x:c r="B10" s="4" t="n">
        <x:v>12</x:v>
      </x:c>
      <x:c r="C10" s="4" t="n">
        <x:v>0.9</x:v>
      </x:c>
      <x:c r="D10" s="4" t="inlineStr">
        <x:is>
          <x:t xml:space="preserve">C</x:t>
        </x:is>
      </x:c>
    </x:row>
    <x:row r="11">
      <x:c r="A11" s="4" t="n">
        <x:v>1401</x:v>
      </x:c>
      <x:c r="B11" s="4" t="n">
        <x:v>14</x:v>
      </x:c>
      <x:c r="C11" s="4" t="n">
        <x:v>0.1</x:v>
      </x:c>
      <x:c r="D11" s="4" t="inlineStr">
        <x:is>
          <x:t xml:space="preserve">A</x:t>
        </x:is>
      </x:c>
    </x:row>
    <x:row r="12">
      <x:c r="A12" s="4" t="n">
        <x:v>1402</x:v>
      </x:c>
      <x:c r="B12" s="4" t="n">
        <x:v>14</x:v>
      </x:c>
      <x:c r="C12" s="4" t="n">
        <x:v>0.2</x:v>
      </x:c>
      <x:c r="D12" s="4" t="inlineStr">
        <x:is>
          <x:t xml:space="preserve">A</x:t>
        </x:is>
      </x:c>
    </x:row>
    <x:row r="13">
      <x:c r="A13" s="4" t="n">
        <x:v>1403</x:v>
      </x:c>
      <x:c r="B13" s="4" t="n">
        <x:v>14</x:v>
      </x:c>
      <x:c r="C13" s="4" t="n">
        <x:v>0.3</x:v>
      </x:c>
      <x:c r="D13" s="4" t="inlineStr">
        <x:is>
          <x:t xml:space="preserve">C</x:t>
        </x:is>
      </x:c>
    </x:row>
    <x:row r="14">
      <x:c r="A14" s="4" t="n">
        <x:v>1404</x:v>
      </x:c>
      <x:c r="B14" s="4" t="n">
        <x:v>14</x:v>
      </x:c>
      <x:c r="C14" s="4" t="n">
        <x:v>0.4</x:v>
      </x:c>
      <x:c r="D14" s="4" t="inlineStr">
        <x:is>
          <x:t xml:space="preserve">C</x:t>
        </x:is>
      </x:c>
    </x:row>
    <x:row r="15">
      <x:c r="A15" s="4" t="n">
        <x:v>1405</x:v>
      </x:c>
      <x:c r="B15" s="4" t="n">
        <x:v>14</x:v>
      </x:c>
      <x:c r="C15" s="4" t="n">
        <x:v>0.5</x:v>
      </x:c>
      <x:c r="D15" s="4" t="inlineStr">
        <x:is>
          <x:t xml:space="preserve">C</x:t>
        </x:is>
      </x:c>
    </x:row>
    <x:row r="16">
      <x:c r="A16" s="4" t="n">
        <x:v>1406</x:v>
      </x:c>
      <x:c r="B16" s="4" t="n">
        <x:v>14</x:v>
      </x:c>
      <x:c r="C16" s="4" t="n">
        <x:v>0.6</x:v>
      </x:c>
      <x:c r="D16" s="4" t="inlineStr">
        <x:is>
          <x:t xml:space="preserve">C</x:t>
        </x:is>
      </x:c>
    </x:row>
    <x:row r="17">
      <x:c r="A17" s="4" t="n">
        <x:v>1407</x:v>
      </x:c>
      <x:c r="B17" s="4" t="n">
        <x:v>14</x:v>
      </x:c>
      <x:c r="C17" s="4" t="n">
        <x:v>0.7</x:v>
      </x:c>
      <x:c r="D17" s="4" t="inlineStr">
        <x:is>
          <x:t xml:space="preserve">C</x:t>
        </x:is>
      </x:c>
    </x:row>
    <x:row r="18">
      <x:c r="A18" s="4" t="n">
        <x:v>1408</x:v>
      </x:c>
      <x:c r="B18" s="4" t="n">
        <x:v>14</x:v>
      </x:c>
      <x:c r="C18" s="4" t="n">
        <x:v>0.8</x:v>
      </x:c>
      <x:c r="D18" s="4" t="inlineStr">
        <x:is>
          <x:t xml:space="preserve">C</x:t>
        </x:is>
      </x:c>
    </x:row>
    <x:row r="19">
      <x:c r="A19" s="4" t="n">
        <x:v>1409</x:v>
      </x:c>
      <x:c r="B19" s="4" t="n">
        <x:v>14</x:v>
      </x:c>
      <x:c r="C19" s="4" t="n">
        <x:v>0.9</x:v>
      </x:c>
      <x:c r="D19" s="4" t="inlineStr">
        <x:is>
          <x:t xml:space="preserve">C</x:t>
        </x:is>
      </x:c>
    </x:row>
    <x:row r="20">
      <x:c r="A20" s="4" t="n">
        <x:v>401</x:v>
      </x:c>
      <x:c r="B20" s="4" t="n">
        <x:v>4</x:v>
      </x:c>
      <x:c r="C20" s="4" t="n">
        <x:v>0.1</x:v>
      </x:c>
      <x:c r="D20" s="4" t="inlineStr">
        <x:is>
          <x:t xml:space="preserve">A</x:t>
        </x:is>
      </x:c>
    </x:row>
    <x:row r="21">
      <x:c r="A21" s="4" t="n">
        <x:v>402</x:v>
      </x:c>
      <x:c r="B21" s="4" t="n">
        <x:v>4</x:v>
      </x:c>
      <x:c r="C21" s="4" t="n">
        <x:v>0.2</x:v>
      </x:c>
      <x:c r="D21" s="4" t="inlineStr">
        <x:is>
          <x:t xml:space="preserve">A</x:t>
        </x:is>
      </x:c>
    </x:row>
    <x:row r="22">
      <x:c r="A22" s="4" t="n">
        <x:v>403</x:v>
      </x:c>
      <x:c r="B22" s="4" t="n">
        <x:v>4</x:v>
      </x:c>
      <x:c r="C22" s="4" t="n">
        <x:v>0.3</x:v>
      </x:c>
      <x:c r="D22" s="4" t="inlineStr">
        <x:is>
          <x:t xml:space="preserve">A</x:t>
        </x:is>
      </x:c>
    </x:row>
    <x:row r="23">
      <x:c r="A23" s="4" t="n">
        <x:v>404</x:v>
      </x:c>
      <x:c r="B23" s="4" t="n">
        <x:v>4</x:v>
      </x:c>
      <x:c r="C23" s="4" t="n">
        <x:v>0.4</x:v>
      </x:c>
      <x:c r="D23" s="4" t="inlineStr">
        <x:is>
          <x:t xml:space="preserve">A</x:t>
        </x:is>
      </x:c>
    </x:row>
    <x:row r="24">
      <x:c r="A24" s="4" t="n">
        <x:v>405</x:v>
      </x:c>
      <x:c r="B24" s="4" t="n">
        <x:v>4</x:v>
      </x:c>
      <x:c r="C24" s="4" t="n">
        <x:v>0.5</x:v>
      </x:c>
      <x:c r="D24" s="4" t="inlineStr">
        <x:is>
          <x:t xml:space="preserve">A</x:t>
        </x:is>
      </x:c>
    </x:row>
    <x:row r="25">
      <x:c r="A25" s="4" t="n">
        <x:v>406</x:v>
      </x:c>
      <x:c r="B25" s="4" t="n">
        <x:v>4</x:v>
      </x:c>
      <x:c r="C25" s="4" t="n">
        <x:v>0.6</x:v>
      </x:c>
      <x:c r="D25" s="4" t="inlineStr">
        <x:is>
          <x:t xml:space="preserve">A</x:t>
        </x:is>
      </x:c>
    </x:row>
    <x:row r="26">
      <x:c r="A26" s="4" t="n">
        <x:v>407</x:v>
      </x:c>
      <x:c r="B26" s="4" t="n">
        <x:v>4</x:v>
      </x:c>
      <x:c r="C26" s="4" t="n">
        <x:v>0.7</x:v>
      </x:c>
      <x:c r="D26" s="4" t="inlineStr">
        <x:is>
          <x:t xml:space="preserve">B</x:t>
        </x:is>
      </x:c>
    </x:row>
    <x:row r="27">
      <x:c r="A27" s="4" t="n">
        <x:v>408</x:v>
      </x:c>
      <x:c r="B27" s="4" t="n">
        <x:v>4</x:v>
      </x:c>
      <x:c r="C27" s="4" t="n">
        <x:v>0.8</x:v>
      </x:c>
      <x:c r="D27" s="4" t="inlineStr">
        <x:is>
          <x:t xml:space="preserve">B</x:t>
        </x:is>
      </x:c>
    </x:row>
    <x:row r="28">
      <x:c r="A28" s="4" t="n">
        <x:v>409</x:v>
      </x:c>
      <x:c r="B28" s="4" t="n">
        <x:v>4</x:v>
      </x:c>
      <x:c r="C28" s="4" t="n">
        <x:v>0.9</x:v>
      </x:c>
      <x:c r="D28" s="4" t="inlineStr">
        <x:is>
          <x:t xml:space="preserve">B</x:t>
        </x:is>
      </x:c>
    </x:row>
    <x:row r="29">
      <x:c r="A29" s="4" t="n">
        <x:v>901</x:v>
      </x:c>
      <x:c r="B29" s="4" t="n">
        <x:v>9</x:v>
      </x:c>
      <x:c r="C29" s="4" t="n">
        <x:v>0.1</x:v>
      </x:c>
      <x:c r="D29" s="4" t="inlineStr">
        <x:is>
          <x:t xml:space="preserve">A</x:t>
        </x:is>
      </x:c>
    </x:row>
    <x:row r="30">
      <x:c r="A30" s="4" t="n">
        <x:v>902</x:v>
      </x:c>
      <x:c r="B30" s="4" t="n">
        <x:v>9</x:v>
      </x:c>
      <x:c r="C30" s="4" t="n">
        <x:v>0.2</x:v>
      </x:c>
      <x:c r="D30" s="4" t="inlineStr">
        <x:is>
          <x:t xml:space="preserve">A</x:t>
        </x:is>
      </x:c>
    </x:row>
    <x:row r="31">
      <x:c r="A31" s="4" t="n">
        <x:v>903</x:v>
      </x:c>
      <x:c r="B31" s="4" t="n">
        <x:v>9</x:v>
      </x:c>
      <x:c r="C31" s="4" t="n">
        <x:v>0.3</x:v>
      </x:c>
      <x:c r="D31" s="4" t="inlineStr">
        <x:is>
          <x:t xml:space="preserve">A</x:t>
        </x:is>
      </x:c>
    </x:row>
    <x:row r="32">
      <x:c r="A32" s="4" t="n">
        <x:v>904</x:v>
      </x:c>
      <x:c r="B32" s="4" t="n">
        <x:v>9</x:v>
      </x:c>
      <x:c r="C32" s="4" t="n">
        <x:v>0.4</x:v>
      </x:c>
      <x:c r="D32" s="4" t="inlineStr">
        <x:is>
          <x:t xml:space="preserve">C</x:t>
        </x:is>
      </x:c>
    </x:row>
    <x:row r="33">
      <x:c r="A33" s="4" t="n">
        <x:v>905</x:v>
      </x:c>
      <x:c r="B33" s="4" t="n">
        <x:v>9</x:v>
      </x:c>
      <x:c r="C33" s="4" t="n">
        <x:v>0.5</x:v>
      </x:c>
      <x:c r="D33" s="4" t="inlineStr">
        <x:is>
          <x:t xml:space="preserve">C</x:t>
        </x:is>
      </x:c>
    </x:row>
    <x:row r="34">
      <x:c r="A34" s="4" t="n">
        <x:v>906</x:v>
      </x:c>
      <x:c r="B34" s="4" t="n">
        <x:v>9</x:v>
      </x:c>
      <x:c r="C34" s="4" t="n">
        <x:v>0.6</x:v>
      </x:c>
      <x:c r="D34" s="4" t="inlineStr">
        <x:is>
          <x:t xml:space="preserve">C</x:t>
        </x:is>
      </x:c>
    </x:row>
    <x:row r="35">
      <x:c r="A35" s="4" t="n">
        <x:v>907</x:v>
      </x:c>
      <x:c r="B35" s="4" t="n">
        <x:v>9</x:v>
      </x:c>
      <x:c r="C35" s="4" t="n">
        <x:v>0.7</x:v>
      </x:c>
      <x:c r="D35" s="4" t="inlineStr">
        <x:is>
          <x:t xml:space="preserve">C</x:t>
        </x:is>
      </x:c>
    </x:row>
    <x:row r="36">
      <x:c r="A36" s="4" t="n">
        <x:v>908</x:v>
      </x:c>
      <x:c r="B36" s="4" t="n">
        <x:v>9</x:v>
      </x:c>
      <x:c r="C36" s="4" t="n">
        <x:v>0.8</x:v>
      </x:c>
      <x:c r="D36" s="4" t="inlineStr">
        <x:is>
          <x:t xml:space="preserve">C</x:t>
        </x:is>
      </x:c>
    </x:row>
    <x:row r="37">
      <x:c r="A37" s="4" t="n">
        <x:v>909</x:v>
      </x:c>
      <x:c r="B37" s="4" t="n">
        <x:v>9</x:v>
      </x:c>
      <x:c r="C37" s="4" t="n">
        <x:v>0.9</x:v>
      </x:c>
      <x:c r="D37" s="4" t="inlineStr">
        <x:is>
          <x:t xml:space="preserve">C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9" customWidth="1"/>
    <x:col min="2" max="2" width="6" customWidth="1"/>
    <x:col min="3" max="3" width="8" customWidth="1"/>
    <x:col min="4" max="4" width="11" customWidth="1"/>
    <x:col min="5" max="5" width="9" customWidth="1"/>
    <x:col min="6" max="6" width="9" customWidth="1"/>
    <x:col min="7" max="7" width="9" customWidth="1"/>
    <x:col min="8" max="8" width="50" customWidth="1"/>
  </x:cols>
  <x:sheetData>
    <x:row r="1">
      <x:c r="A1" s="3" t="inlineStr">
        <x:is>
          <x:t xml:space="preserve">Form</x:t>
        </x:is>
      </x:c>
      <x:c r="B1" s="3" t="inlineStr">
        <x:is>
          <x:t xml:space="preserve">Case</x:t>
        </x:is>
      </x:c>
      <x:c r="C1" s="3" t="inlineStr">
        <x:is>
          <x:t xml:space="preserve">Instance</x:t>
        </x:is>
      </x:c>
      <x:c r="D1" s="3" t="inlineStr">
        <x:is>
          <x:t xml:space="preserve">Format</x:t>
        </x:is>
      </x:c>
      <x:c r="E1" s="3" t="inlineStr">
        <x:is>
          <x:t xml:space="preserve">R1 key</x:t>
        </x:is>
      </x:c>
      <x:c r="F1" s="3" t="inlineStr">
        <x:is>
          <x:t xml:space="preserve">R2 key</x:t>
        </x:is>
      </x:c>
      <x:c r="G1" s="3" t="inlineStr">
        <x:is>
          <x:t xml:space="preserve">R3 key</x:t>
        </x:is>
      </x:c>
      <x:c r="H1" s="3" t="inlineStr">
        <x:is>
          <x:t xml:space="preserve">Note</x:t>
        </x:is>
      </x:c>
    </x:row>
    <x:row r="2">
      <x:c r="A2" s="4" t="inlineStr">
        <x:is>
          <x:t xml:space="preserve">X</x:t>
        </x:is>
      </x:c>
      <x:c r="B2" s="4" t="n">
        <x:v>1</x:v>
      </x:c>
      <x:c r="C2" s="4" t="n">
        <x:v>12</x:v>
      </x:c>
      <x:c r="D2" s="4" t="inlineStr">
        <x:is>
          <x:t xml:space="preserve">A</x:t>
        </x:is>
      </x:c>
      <x:c r="E2" s="4" t="n">
        <x:v>2</x:v>
      </x:c>
      <x:c r="F2" s="4" t="n">
        <x:v>4</x:v>
      </x:c>
      <x:c r="G2" s="4" t="n">
        <x:v>1</x:v>
      </x:c>
      <x:c r="H2" s="4" t="inlineStr">
        <x:is>
          <x:t xml:space="preserve"/>
        </x:is>
      </x:c>
    </x:row>
    <x:row r="3">
      <x:c r="A3" s="4" t="inlineStr">
        <x:is>
          <x:t xml:space="preserve">X</x:t>
        </x:is>
      </x:c>
      <x:c r="B3" s="4" t="n">
        <x:v>2</x:v>
      </x:c>
      <x:c r="C3" s="4" t="n">
        <x:v>14</x:v>
      </x:c>
      <x:c r="D3" s="4" t="inlineStr">
        <x:is>
          <x:t xml:space="preserve">A</x:t>
        </x:is>
      </x:c>
      <x:c r="E3" s="4" t="n">
        <x:v>2</x:v>
      </x:c>
      <x:c r="F3" s="4" t="n">
        <x:v>2</x:v>
      </x:c>
      <x:c r="G3" s="4" t="n">
        <x:v>4</x:v>
      </x:c>
      <x:c r="H3" s="4" t="inlineStr">
        <x:is>
          <x:t xml:space="preserve"/>
        </x:is>
      </x:c>
    </x:row>
    <x:row r="4">
      <x:c r="A4" s="4" t="inlineStr">
        <x:is>
          <x:t xml:space="preserve">X</x:t>
        </x:is>
      </x:c>
      <x:c r="B4" s="4" t="n">
        <x:v>3</x:v>
      </x:c>
      <x:c r="C4" s="4" t="n">
        <x:v>4</x:v>
      </x:c>
      <x:c r="D4" s="4" t="inlineStr">
        <x:is>
          <x:t xml:space="preserve">B</x:t>
        </x:is>
      </x:c>
      <x:c r="E4" s="4" t="n">
        <x:v>3</x:v>
      </x:c>
      <x:c r="F4" s="4" t="n">
        <x:v>2</x:v>
      </x:c>
      <x:c r="G4" s="4" t="n">
        <x:v>2</x:v>
      </x:c>
      <x:c r="H4" s="4" t="inlineStr">
        <x:is>
          <x:t xml:space="preserve"/>
        </x:is>
      </x:c>
    </x:row>
    <x:row r="5">
      <x:c r="A5" s="4" t="inlineStr">
        <x:is>
          <x:t xml:space="preserve">X</x:t>
        </x:is>
      </x:c>
      <x:c r="B5" s="4" t="n">
        <x:v>4</x:v>
      </x:c>
      <x:c r="C5" s="4" t="n">
        <x:v>9</x:v>
      </x:c>
      <x:c r="D5" s="4" t="inlineStr">
        <x:is>
          <x:t xml:space="preserve">B</x:t>
        </x:is>
      </x:c>
      <x:c r="E5" s="4" t="n">
        <x:v>4</x:v>
      </x:c>
      <x:c r="F5" s="4" t="n">
        <x:v>3</x:v>
      </x:c>
      <x:c r="G5" s="4" t="n">
        <x:v>2</x:v>
      </x:c>
      <x:c r="H5" s="4" t="inlineStr">
        <x:is>
          <x:t xml:space="preserve"/>
        </x:is>
      </x:c>
    </x:row>
    <x:row r="6">
      <x:c r="A6" s="4" t="inlineStr">
        <x:is>
          <x:t xml:space="preserve">X</x:t>
        </x:is>
      </x:c>
      <x:c r="B6" s="4" t="n">
        <x:v>5</x:v>
      </x:c>
      <x:c r="C6" s="4" t="n">
        <x:v>4</x:v>
      </x:c>
      <x:c r="D6" s="4" t="inlineStr">
        <x:is>
          <x:t xml:space="preserve">R</x:t>
        </x:is>
      </x:c>
      <x:c r="E6" s="4" t="n">
        <x:v>6</x:v>
      </x:c>
      <x:c r="F6" s="4" t="n">
        <x:v>5</x:v>
      </x:c>
      <x:c r="G6" s="4" t="n">
        <x:v>2</x:v>
      </x:c>
      <x:c r="H6" s="4" t="inlineStr">
        <x:is>
          <x:t xml:space="preserve">case 5 letters: P=E, Q=D, R=A, S=C, T=B</x:t>
        </x:is>
      </x:c>
    </x:row>
    <x:row r="7">
      <x:c r="A7" s="4" t="inlineStr">
        <x:is>
          <x:t xml:space="preserve">Y</x:t>
        </x:is>
      </x:c>
      <x:c r="B7" s="4" t="n">
        <x:v>1</x:v>
      </x:c>
      <x:c r="C7" s="4" t="n">
        <x:v>12</x:v>
      </x:c>
      <x:c r="D7" s="4" t="inlineStr">
        <x:is>
          <x:t xml:space="preserve">B</x:t>
        </x:is>
      </x:c>
      <x:c r="E7" s="4" t="n">
        <x:v>4</x:v>
      </x:c>
      <x:c r="F7" s="4" t="n">
        <x:v>2</x:v>
      </x:c>
      <x:c r="G7" s="4" t="n">
        <x:v>2</x:v>
      </x:c>
      <x:c r="H7" s="4" t="inlineStr">
        <x:is>
          <x:t xml:space="preserve"/>
        </x:is>
      </x:c>
    </x:row>
    <x:row r="8">
      <x:c r="A8" s="4" t="inlineStr">
        <x:is>
          <x:t xml:space="preserve">Y</x:t>
        </x:is>
      </x:c>
      <x:c r="B8" s="4" t="n">
        <x:v>2</x:v>
      </x:c>
      <x:c r="C8" s="4" t="n">
        <x:v>14</x:v>
      </x:c>
      <x:c r="D8" s="4" t="inlineStr">
        <x:is>
          <x:t xml:space="preserve">B</x:t>
        </x:is>
      </x:c>
      <x:c r="E8" s="4" t="n">
        <x:v>5</x:v>
      </x:c>
      <x:c r="F8" s="4" t="n">
        <x:v>3</x:v>
      </x:c>
      <x:c r="G8" s="4" t="n">
        <x:v>2</x:v>
      </x:c>
      <x:c r="H8" s="4" t="inlineStr">
        <x:is>
          <x:t xml:space="preserve"/>
        </x:is>
      </x:c>
    </x:row>
    <x:row r="9">
      <x:c r="A9" s="4" t="inlineStr">
        <x:is>
          <x:t xml:space="preserve">Y</x:t>
        </x:is>
      </x:c>
      <x:c r="B9" s="4" t="n">
        <x:v>3</x:v>
      </x:c>
      <x:c r="C9" s="4" t="n">
        <x:v>4</x:v>
      </x:c>
      <x:c r="D9" s="4" t="inlineStr">
        <x:is>
          <x:t xml:space="preserve">A</x:t>
        </x:is>
      </x:c>
      <x:c r="E9" s="4" t="n">
        <x:v>2</x:v>
      </x:c>
      <x:c r="F9" s="4" t="n">
        <x:v>3</x:v>
      </x:c>
      <x:c r="G9" s="4" t="n">
        <x:v>1</x:v>
      </x:c>
      <x:c r="H9" s="4" t="inlineStr">
        <x:is>
          <x:t xml:space="preserve"/>
        </x:is>
      </x:c>
    </x:row>
    <x:row r="10">
      <x:c r="A10" s="4" t="inlineStr">
        <x:is>
          <x:t xml:space="preserve">Y</x:t>
        </x:is>
      </x:c>
      <x:c r="B10" s="4" t="n">
        <x:v>4</x:v>
      </x:c>
      <x:c r="C10" s="4" t="n">
        <x:v>9</x:v>
      </x:c>
      <x:c r="D10" s="4" t="inlineStr">
        <x:is>
          <x:t xml:space="preserve">A</x:t>
        </x:is>
      </x:c>
      <x:c r="E10" s="4" t="n">
        <x:v>2</x:v>
      </x:c>
      <x:c r="F10" s="4" t="n">
        <x:v>4</x:v>
      </x:c>
      <x:c r="G10" s="4" t="n">
        <x:v>4</x:v>
      </x:c>
      <x:c r="H10" s="4" t="inlineStr">
        <x:is>
          <x:t xml:space="preserve"/>
        </x:is>
      </x:c>
    </x:row>
    <x:row r="11">
      <x:c r="A11" s="4" t="inlineStr">
        <x:is>
          <x:t xml:space="preserve">Y</x:t>
        </x:is>
      </x:c>
      <x:c r="B11" s="4" t="n">
        <x:v>5</x:v>
      </x:c>
      <x:c r="C11" s="4" t="n">
        <x:v>12</x:v>
      </x:c>
      <x:c r="D11" s="4" t="inlineStr">
        <x:is>
          <x:t xml:space="preserve">R</x:t>
        </x:is>
      </x:c>
      <x:c r="E11" s="4" t="n">
        <x:v>6</x:v>
      </x:c>
      <x:c r="F11" s="4" t="n">
        <x:v>3</x:v>
      </x:c>
      <x:c r="G11" s="4" t="n">
        <x:v>2</x:v>
      </x:c>
      <x:c r="H11" s="4" t="inlineStr">
        <x:is>
          <x:t xml:space="preserve">case 5 letters: P=E, Q=D, R=B, S=A, T=C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16" customWidth="1"/>
    <x:col min="2" max="2" width="9" customWidth="1"/>
    <x:col min="3" max="3" width="12" customWidth="1"/>
    <x:col min="4" max="4" width="14" customWidth="1"/>
  </x:cols>
  <x:sheetData>
    <x:row r="1">
      <x:c r="A1" s="3" t="inlineStr">
        <x:is>
          <x:t xml:space="preserve">Key (form|letter)</x:t>
        </x:is>
      </x:c>
      <x:c r="B1" s="3" t="inlineStr">
        <x:is>
          <x:t xml:space="preserve">Form</x:t>
        </x:is>
      </x:c>
      <x:c r="C1" s="3" t="inlineStr">
        <x:is>
          <x:t xml:space="preserve">Case 5 letter</x:t>
        </x:is>
      </x:c>
      <x:c r="D1" s="3" t="inlineStr">
        <x:is>
          <x:t xml:space="preserve">Original letter</x:t>
        </x:is>
      </x:c>
    </x:row>
    <x:row r="2">
      <x:c r="A2" s="4" t="inlineStr">
        <x:is>
          <x:t xml:space="preserve">X|P</x:t>
        </x:is>
      </x:c>
      <x:c r="B2" s="4" t="inlineStr">
        <x:is>
          <x:t xml:space="preserve">X</x:t>
        </x:is>
      </x:c>
      <x:c r="C2" s="4" t="inlineStr">
        <x:is>
          <x:t xml:space="preserve">P</x:t>
        </x:is>
      </x:c>
      <x:c r="D2" s="4" t="inlineStr">
        <x:is>
          <x:t xml:space="preserve">E</x:t>
        </x:is>
      </x:c>
    </x:row>
    <x:row r="3">
      <x:c r="A3" s="4" t="inlineStr">
        <x:is>
          <x:t xml:space="preserve">X|Q</x:t>
        </x:is>
      </x:c>
      <x:c r="B3" s="4" t="inlineStr">
        <x:is>
          <x:t xml:space="preserve">X</x:t>
        </x:is>
      </x:c>
      <x:c r="C3" s="4" t="inlineStr">
        <x:is>
          <x:t xml:space="preserve">Q</x:t>
        </x:is>
      </x:c>
      <x:c r="D3" s="4" t="inlineStr">
        <x:is>
          <x:t xml:space="preserve">D</x:t>
        </x:is>
      </x:c>
    </x:row>
    <x:row r="4">
      <x:c r="A4" s="4" t="inlineStr">
        <x:is>
          <x:t xml:space="preserve">X|R</x:t>
        </x:is>
      </x:c>
      <x:c r="B4" s="4" t="inlineStr">
        <x:is>
          <x:t xml:space="preserve">X</x:t>
        </x:is>
      </x:c>
      <x:c r="C4" s="4" t="inlineStr">
        <x:is>
          <x:t xml:space="preserve">R</x:t>
        </x:is>
      </x:c>
      <x:c r="D4" s="4" t="inlineStr">
        <x:is>
          <x:t xml:space="preserve">A</x:t>
        </x:is>
      </x:c>
    </x:row>
    <x:row r="5">
      <x:c r="A5" s="4" t="inlineStr">
        <x:is>
          <x:t xml:space="preserve">X|S</x:t>
        </x:is>
      </x:c>
      <x:c r="B5" s="4" t="inlineStr">
        <x:is>
          <x:t xml:space="preserve">X</x:t>
        </x:is>
      </x:c>
      <x:c r="C5" s="4" t="inlineStr">
        <x:is>
          <x:t xml:space="preserve">S</x:t>
        </x:is>
      </x:c>
      <x:c r="D5" s="4" t="inlineStr">
        <x:is>
          <x:t xml:space="preserve">C</x:t>
        </x:is>
      </x:c>
    </x:row>
    <x:row r="6">
      <x:c r="A6" s="4" t="inlineStr">
        <x:is>
          <x:t xml:space="preserve">X|T</x:t>
        </x:is>
      </x:c>
      <x:c r="B6" s="4" t="inlineStr">
        <x:is>
          <x:t xml:space="preserve">X</x:t>
        </x:is>
      </x:c>
      <x:c r="C6" s="4" t="inlineStr">
        <x:is>
          <x:t xml:space="preserve">T</x:t>
        </x:is>
      </x:c>
      <x:c r="D6" s="4" t="inlineStr">
        <x:is>
          <x:t xml:space="preserve">B</x:t>
        </x:is>
      </x:c>
    </x:row>
    <x:row r="7">
      <x:c r="A7" s="4" t="inlineStr">
        <x:is>
          <x:t xml:space="preserve">X|N</x:t>
        </x:is>
      </x:c>
      <x:c r="B7" s="4" t="inlineStr">
        <x:is>
          <x:t xml:space="preserve">X</x:t>
        </x:is>
      </x:c>
      <x:c r="C7" s="4" t="inlineStr">
        <x:is>
          <x:t xml:space="preserve">N</x:t>
        </x:is>
      </x:c>
      <x:c r="D7" s="4" t="inlineStr">
        <x:is>
          <x:t xml:space="preserve">N</x:t>
        </x:is>
      </x:c>
    </x:row>
    <x:row r="8">
      <x:c r="A8" s="4" t="inlineStr">
        <x:is>
          <x:t xml:space="preserve">Y|P</x:t>
        </x:is>
      </x:c>
      <x:c r="B8" s="4" t="inlineStr">
        <x:is>
          <x:t xml:space="preserve">Y</x:t>
        </x:is>
      </x:c>
      <x:c r="C8" s="4" t="inlineStr">
        <x:is>
          <x:t xml:space="preserve">P</x:t>
        </x:is>
      </x:c>
      <x:c r="D8" s="4" t="inlineStr">
        <x:is>
          <x:t xml:space="preserve">E</x:t>
        </x:is>
      </x:c>
    </x:row>
    <x:row r="9">
      <x:c r="A9" s="4" t="inlineStr">
        <x:is>
          <x:t xml:space="preserve">Y|Q</x:t>
        </x:is>
      </x:c>
      <x:c r="B9" s="4" t="inlineStr">
        <x:is>
          <x:t xml:space="preserve">Y</x:t>
        </x:is>
      </x:c>
      <x:c r="C9" s="4" t="inlineStr">
        <x:is>
          <x:t xml:space="preserve">Q</x:t>
        </x:is>
      </x:c>
      <x:c r="D9" s="4" t="inlineStr">
        <x:is>
          <x:t xml:space="preserve">D</x:t>
        </x:is>
      </x:c>
    </x:row>
    <x:row r="10">
      <x:c r="A10" s="4" t="inlineStr">
        <x:is>
          <x:t xml:space="preserve">Y|R</x:t>
        </x:is>
      </x:c>
      <x:c r="B10" s="4" t="inlineStr">
        <x:is>
          <x:t xml:space="preserve">Y</x:t>
        </x:is>
      </x:c>
      <x:c r="C10" s="4" t="inlineStr">
        <x:is>
          <x:t xml:space="preserve">R</x:t>
        </x:is>
      </x:c>
      <x:c r="D10" s="4" t="inlineStr">
        <x:is>
          <x:t xml:space="preserve">B</x:t>
        </x:is>
      </x:c>
    </x:row>
    <x:row r="11">
      <x:c r="A11" s="4" t="inlineStr">
        <x:is>
          <x:t xml:space="preserve">Y|S</x:t>
        </x:is>
      </x:c>
      <x:c r="B11" s="4" t="inlineStr">
        <x:is>
          <x:t xml:space="preserve">Y</x:t>
        </x:is>
      </x:c>
      <x:c r="C11" s="4" t="inlineStr">
        <x:is>
          <x:t xml:space="preserve">S</x:t>
        </x:is>
      </x:c>
      <x:c r="D11" s="4" t="inlineStr">
        <x:is>
          <x:t xml:space="preserve">A</x:t>
        </x:is>
      </x:c>
    </x:row>
    <x:row r="12">
      <x:c r="A12" s="4" t="inlineStr">
        <x:is>
          <x:t xml:space="preserve">Y|T</x:t>
        </x:is>
      </x:c>
      <x:c r="B12" s="4" t="inlineStr">
        <x:is>
          <x:t xml:space="preserve">Y</x:t>
        </x:is>
      </x:c>
      <x:c r="C12" s="4" t="inlineStr">
        <x:is>
          <x:t xml:space="preserve">T</x:t>
        </x:is>
      </x:c>
      <x:c r="D12" s="4" t="inlineStr">
        <x:is>
          <x:t xml:space="preserve">C</x:t>
        </x:is>
      </x:c>
    </x:row>
    <x:row r="13">
      <x:c r="A13" s="4" t="inlineStr">
        <x:is>
          <x:t xml:space="preserve">Y|N</x:t>
        </x:is>
      </x:c>
      <x:c r="B13" s="4" t="inlineStr">
        <x:is>
          <x:t xml:space="preserve">Y</x:t>
        </x:is>
      </x:c>
      <x:c r="C13" s="4" t="inlineStr">
        <x:is>
          <x:t xml:space="preserve">N</x:t>
        </x:is>
      </x:c>
      <x:c r="D13" s="4" t="inlineStr">
        <x:is>
          <x:t xml:space="preserve">N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9" customWidth="1"/>
    <x:col min="2" max="2" width="28" customWidth="1"/>
    <x:col min="3" max="3" width="12" customWidth="1"/>
    <x:col min="4" max="4" width="12" customWidth="1"/>
    <x:col min="5" max="5" width="14" customWidth="1"/>
  </x:cols>
  <x:sheetData>
    <x:row r="1">
      <x:c r="A1" s="3" t="inlineStr">
        <x:is>
          <x:t xml:space="preserve">Profile no.</x:t>
        </x:is>
      </x:c>
      <x:c r="B1" s="3" t="inlineStr">
        <x:is>
          <x:t xml:space="preserve">Profile</x:t>
        </x:is>
      </x:c>
      <x:c r="C1" s="3" t="inlineStr">
        <x:is>
          <x:t xml:space="preserve">Tokens cost</x:t>
        </x:is>
      </x:c>
      <x:c r="D1" s="3" t="inlineStr">
        <x:is>
          <x:t xml:space="preserve">Tokens difficult</x:t>
        </x:is>
      </x:c>
      <x:c r="E1" s="3" t="inlineStr">
        <x:is>
          <x:t xml:space="preserve">Tokens predictability</x:t>
        </x:is>
      </x:c>
    </x:row>
    <x:row r="2">
      <x:c r="A2" s="4" t="n">
        <x:v>1</x:v>
      </x:c>
      <x:c r="B2" s="4" t="inlineStr">
        <x:is>
          <x:t xml:space="preserve">Budget-driven</x:t>
        </x:is>
      </x:c>
      <x:c r="C2" s="4" t="n">
        <x:v>8</x:v>
      </x:c>
      <x:c r="D2" s="4" t="n">
        <x:v>1.5</x:v>
      </x:c>
      <x:c r="E2" s="4" t="n">
        <x:v>0.5</x:v>
      </x:c>
    </x:row>
    <x:row r="3">
      <x:c r="A3" s="4" t="n">
        <x:v>2</x:v>
      </x:c>
      <x:c r="B3" s="4" t="inlineStr">
        <x:is>
          <x:t xml:space="preserve">Balanced</x:t>
        </x:is>
      </x:c>
      <x:c r="C3" s="4" t="n">
        <x:v>4</x:v>
      </x:c>
      <x:c r="D3" s="4" t="n">
        <x:v>4</x:v>
      </x:c>
      <x:c r="E3" s="4" t="n">
        <x:v>2</x:v>
      </x:c>
    </x:row>
    <x:row r="4">
      <x:c r="A4" s="4" t="n">
        <x:v>3</x:v>
      </x:c>
      <x:c r="B4" s="4" t="inlineStr">
        <x:is>
          <x:t xml:space="preserve">Service level</x:t>
        </x:is>
      </x:c>
      <x:c r="C4" s="4" t="n">
        <x:v>2</x:v>
      </x:c>
      <x:c r="D4" s="4" t="n">
        <x:v>6.5</x:v>
      </x:c>
      <x:c r="E4" s="4" t="n">
        <x:v>1.5</x:v>
      </x:c>
    </x:row>
    <x:row r="5">
      <x:c r="A5" s="4" t="n">
        <x:v>4</x:v>
      </x:c>
      <x:c r="B5" s="4" t="inlineStr">
        <x:is>
          <x:t xml:space="preserve">Overtime-averse</x:t>
        </x:is>
      </x:c>
      <x:c r="C5" s="4" t="n">
        <x:v>2.5</x:v>
      </x:c>
      <x:c r="D5" s="4" t="n">
        <x:v>5</x:v>
      </x:c>
      <x:c r="E5" s="4" t="n">
        <x:v>2.5</x:v>
      </x:c>
    </x:row>
    <x:row r="6">
      <x:c r="A6" s="4" t="n">
        <x:v>5</x:v>
      </x:c>
      <x:c r="B6" s="4" t="inlineStr">
        <x:is>
          <x:t xml:space="preserve">Predictable days</x:t>
        </x:is>
      </x:c>
      <x:c r="C6" s="4" t="n">
        <x:v>2.5</x:v>
      </x:c>
      <x:c r="D6" s="4" t="n">
        <x:v>2.5</x:v>
      </x:c>
      <x:c r="E6" s="4" t="n">
        <x:v>5</x:v>
      </x:c>
    </x:row>
    <x:row r="7">
      <x:c r="A7" s="4" t="n">
        <x:v>6</x:v>
      </x:c>
      <x:c r="B7" s="4" t="inlineStr">
        <x:is>
          <x:t xml:space="preserve">Worst case</x:t>
        </x:is>
      </x:c>
      <x:c r="C7" s="4" t="n">
        <x:v>0.5</x:v>
      </x:c>
      <x:c r="D7" s="4" t="n">
        <x:v>8.5</x:v>
      </x:c>
      <x:c r="E7" s="4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9" customWidth="1"/>
    <x:col min="2" max="2" width="7" customWidth="1"/>
    <x:col min="3" max="3" width="7" customWidth="1"/>
    <x:col min="4" max="4" width="7" customWidth="1"/>
    <x:col min="5" max="5" width="7" customWidth="1"/>
  </x:cols>
  <x:sheetData>
    <x:row r="1">
      <x:c r="A1" s="3" t="inlineStr">
        <x:is>
          <x:t xml:space="preserve">Form</x:t>
        </x:is>
      </x:c>
      <x:c r="B1" s="3" t="inlineStr">
        <x:is>
          <x:t xml:space="preserve">V1.1</x:t>
        </x:is>
      </x:c>
      <x:c r="C1" s="3" t="inlineStr">
        <x:is>
          <x:t xml:space="preserve">V1.2</x:t>
        </x:is>
      </x:c>
      <x:c r="D1" s="3" t="inlineStr">
        <x:is>
          <x:t xml:space="preserve">V2.1</x:t>
        </x:is>
      </x:c>
      <x:c r="E1" s="3" t="inlineStr">
        <x:is>
          <x:t xml:space="preserve">V2.2</x:t>
        </x:is>
      </x:c>
    </x:row>
    <x:row r="2">
      <x:c r="A2" s="4" t="inlineStr">
        <x:is>
          <x:t xml:space="preserve">X</x:t>
        </x:is>
      </x:c>
      <x:c r="B2" s="4" t="n">
        <x:v>2</x:v>
      </x:c>
      <x:c r="C2" s="4" t="n">
        <x:v>3</x:v>
      </x:c>
      <x:c r="D2" s="4" t="n">
        <x:v>2</x:v>
      </x:c>
      <x:c r="E2" s="4" t="n">
        <x:v>3</x:v>
      </x:c>
    </x:row>
    <x:row r="3">
      <x:c r="A3" s="4" t="inlineStr">
        <x:is>
          <x:t xml:space="preserve">Y</x:t>
        </x:is>
      </x:c>
      <x:c r="B3" s="4" t="n">
        <x:v>2</x:v>
      </x:c>
      <x:c r="C3" s="4" t="n">
        <x:v>3</x:v>
      </x:c>
      <x:c r="D3" s="4" t="n">
        <x:v>2</x:v>
      </x:c>
      <x:c r="E3" s="4" t="n">
        <x:v>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xSplit="2" ySplit="2" topLeftCell="C3" activePane="bottomRight" state="frozen"/>
    </x:sheetView>
  </x:sheetViews>
  <x:sheetFormatPr baseColWidth="8" defaultRowHeight="15"/>
  <x:cols>
    <x:col min="1" max="1" width="10" customWidth="1"/>
    <x:col min="2" max="2" width="10" customWidth="1"/>
    <x:col min="3" max="3" width="8" customWidth="1"/>
    <x:col min="4" max="4" width="8" customWidth="1"/>
    <x:col min="5" max="5" width="8" customWidth="1"/>
    <x:col min="6" max="6" width="8" customWidth="1"/>
    <x:col min="7" max="7" width="8" customWidth="1"/>
    <x:col min="8" max="8" width="8" customWidth="1"/>
    <x:col min="9" max="9" width="8" customWidth="1"/>
    <x:col min="10" max="10" width="8" customWidth="1"/>
    <x:col min="11" max="11" width="8" customWidth="1"/>
    <x:col min="12" max="12" width="8" customWidth="1"/>
    <x:col min="13" max="13" width="8" customWidth="1"/>
    <x:col min="14" max="14" width="8" customWidth="1"/>
    <x:col min="15" max="15" width="8" customWidth="1"/>
    <x:col min="16" max="16" width="8" customWidth="1"/>
    <x:col min="17" max="17" width="8" customWidth="1"/>
    <x:col min="18" max="18" width="8" customWidth="1"/>
    <x:col min="19" max="19" width="8" customWidth="1"/>
    <x:col min="20" max="20" width="8" customWidth="1"/>
    <x:col min="21" max="21" width="8" customWidth="1"/>
    <x:col min="22" max="22" width="8" customWidth="1"/>
    <x:col min="23" max="23" width="8" customWidth="1"/>
    <x:col min="24" max="24" width="8" customWidth="1"/>
    <x:col min="25" max="25" width="8" customWidth="1"/>
    <x:col min="26" max="26" width="8" customWidth="1"/>
    <x:col min="27" max="27" width="8" customWidth="1"/>
    <x:col min="28" max="28" width="8" customWidth="1"/>
    <x:col min="29" max="29" width="8" customWidth="1"/>
    <x:col min="30" max="30" width="8" customWidth="1"/>
    <x:col min="31" max="31" width="8" customWidth="1"/>
    <x:col min="32" max="32" width="8" customWidth="1"/>
    <x:col min="33" max="33" width="8" customWidth="1"/>
    <x:col min="34" max="34" width="8" customWidth="1"/>
    <x:col min="35" max="35" width="8" customWidth="1"/>
    <x:col min="36" max="36" width="8" customWidth="1"/>
    <x:col min="37" max="37" width="8" customWidth="1"/>
    <x:col min="38" max="38" width="8" customWidth="1"/>
    <x:col min="39" max="39" width="8" customWidth="1"/>
    <x:col min="40" max="40" width="8" customWidth="1"/>
    <x:col min="41" max="41" width="8" customWidth="1"/>
    <x:col min="42" max="42" width="8" customWidth="1"/>
    <x:col min="43" max="43" width="8" customWidth="1"/>
    <x:col min="44" max="44" width="8" customWidth="1"/>
    <x:col min="45" max="45" width="8" customWidth="1"/>
    <x:col min="46" max="46" width="8" customWidth="1"/>
    <x:col min="47" max="47" width="8" customWidth="1"/>
    <x:col min="48" max="48" width="8" customWidth="1"/>
    <x:col min="49" max="49" width="8" customWidth="1"/>
    <x:col min="50" max="50" width="8" customWidth="1"/>
    <x:col min="51" max="51" width="8" customWidth="1"/>
    <x:col min="52" max="52" width="8" customWidth="1"/>
    <x:col min="53" max="53" width="8" customWidth="1"/>
    <x:col min="54" max="54" width="8" customWidth="1"/>
    <x:col min="55" max="55" width="8" customWidth="1"/>
    <x:col min="56" max="56" width="8" customWidth="1"/>
    <x:col min="57" max="57" width="8" customWidth="1"/>
    <x:col min="58" max="58" width="8" customWidth="1"/>
  </x:cols>
  <x:sheetData>
    <x:row r="1">
      <x:c r="A1" s="5" t="inlineStr">
        <x:is>
          <x:t xml:space="preserve">Anonymous expert consultation: answers of the ten returned booklets, imported on 7 October 2026. Completion times removed.</x:t>
        </x:is>
      </x:c>
    </x:row>
    <x:row r="2">
      <x:c r="A2" s="6" t="inlineStr">
        <x:is>
          <x:t xml:space="preserve">Code</x:t>
        </x:is>
      </x:c>
      <x:c r="B2" s="6" t="inlineStr">
        <x:is>
          <x:t xml:space="preserve">Form</x:t>
        </x:is>
      </x:c>
      <x:c r="C2" s="6" t="inlineStr">
        <x:is>
          <x:t xml:space="preserve">Tokens cost</x:t>
        </x:is>
      </x:c>
      <x:c r="D2" s="6" t="inlineStr">
        <x:is>
          <x:t xml:space="preserve">Tokens difficult</x:t>
        </x:is>
      </x:c>
      <x:c r="E2" s="6" t="inlineStr">
        <x:is>
          <x:t xml:space="preserve">Tokens predictability</x:t>
        </x:is>
      </x:c>
      <x:c r="F2" s="6" t="inlineStr">
        <x:is>
          <x:t xml:space="preserve">Profile (1–7)</x:t>
        </x:is>
      </x:c>
      <x:c r="G2" s="6" t="inlineStr">
        <x:is>
          <x:t xml:space="preserve">Q1</x:t>
        </x:is>
      </x:c>
      <x:c r="H2" s="6" t="inlineStr">
        <x:is>
          <x:t xml:space="preserve">Q2</x:t>
        </x:is>
      </x:c>
      <x:c r="I2" s="6" t="inlineStr">
        <x:is>
          <x:t xml:space="preserve">Q3</x:t>
        </x:is>
      </x:c>
      <x:c r="J2" s="6" t="inlineStr">
        <x:is>
          <x:t xml:space="preserve">Q4</x:t>
        </x:is>
      </x:c>
      <x:c r="K2" s="6" t="inlineStr">
        <x:is>
          <x:t xml:space="preserve">Q5</x:t>
        </x:is>
      </x:c>
      <x:c r="L2" s="6" t="inlineStr">
        <x:is>
          <x:t xml:space="preserve">C1 L1</x:t>
        </x:is>
      </x:c>
      <x:c r="M2" s="6" t="inlineStr">
        <x:is>
          <x:t xml:space="preserve">C1 L2</x:t>
        </x:is>
      </x:c>
      <x:c r="N2" s="6" t="inlineStr">
        <x:is>
          <x:t xml:space="preserve">C1 L3</x:t>
        </x:is>
      </x:c>
      <x:c r="O2" s="6" t="inlineStr">
        <x:is>
          <x:t xml:space="preserve">C1 D1</x:t>
        </x:is>
      </x:c>
      <x:c r="P2" s="6" t="inlineStr">
        <x:is>
          <x:t xml:space="preserve">C1 D2 θ</x:t>
        </x:is>
      </x:c>
      <x:c r="Q2" s="6" t="inlineStr">
        <x:is>
          <x:t xml:space="preserve">C1 D5 confidence</x:t>
        </x:is>
      </x:c>
      <x:c r="R2" s="6" t="inlineStr">
        <x:is>
          <x:t xml:space="preserve">C2 L1</x:t>
        </x:is>
      </x:c>
      <x:c r="S2" s="6" t="inlineStr">
        <x:is>
          <x:t xml:space="preserve">C2 L2</x:t>
        </x:is>
      </x:c>
      <x:c r="T2" s="6" t="inlineStr">
        <x:is>
          <x:t xml:space="preserve">C2 L3</x:t>
        </x:is>
      </x:c>
      <x:c r="U2" s="6" t="inlineStr">
        <x:is>
          <x:t xml:space="preserve">C2 D1</x:t>
        </x:is>
      </x:c>
      <x:c r="V2" s="6" t="inlineStr">
        <x:is>
          <x:t xml:space="preserve">C2 D2 θ</x:t>
        </x:is>
      </x:c>
      <x:c r="W2" s="6" t="inlineStr">
        <x:is>
          <x:t xml:space="preserve">C2 D5 confidence</x:t>
        </x:is>
      </x:c>
      <x:c r="X2" s="6" t="inlineStr">
        <x:is>
          <x:t xml:space="preserve">C3 L1</x:t>
        </x:is>
      </x:c>
      <x:c r="Y2" s="6" t="inlineStr">
        <x:is>
          <x:t xml:space="preserve">C3 L2</x:t>
        </x:is>
      </x:c>
      <x:c r="Z2" s="6" t="inlineStr">
        <x:is>
          <x:t xml:space="preserve">C3 L3</x:t>
        </x:is>
      </x:c>
      <x:c r="AA2" s="6" t="inlineStr">
        <x:is>
          <x:t xml:space="preserve">C3 D1</x:t>
        </x:is>
      </x:c>
      <x:c r="AB2" s="6" t="inlineStr">
        <x:is>
          <x:t xml:space="preserve">C3 D2 θ</x:t>
        </x:is>
      </x:c>
      <x:c r="AC2" s="6" t="inlineStr">
        <x:is>
          <x:t xml:space="preserve">C3 D5 confidence</x:t>
        </x:is>
      </x:c>
      <x:c r="AD2" s="6" t="inlineStr">
        <x:is>
          <x:t xml:space="preserve">C4 L1</x:t>
        </x:is>
      </x:c>
      <x:c r="AE2" s="6" t="inlineStr">
        <x:is>
          <x:t xml:space="preserve">C4 L2</x:t>
        </x:is>
      </x:c>
      <x:c r="AF2" s="6" t="inlineStr">
        <x:is>
          <x:t xml:space="preserve">C4 L3</x:t>
        </x:is>
      </x:c>
      <x:c r="AG2" s="6" t="inlineStr">
        <x:is>
          <x:t xml:space="preserve">C4 D1</x:t>
        </x:is>
      </x:c>
      <x:c r="AH2" s="6" t="inlineStr">
        <x:is>
          <x:t xml:space="preserve">C4 D2 θ</x:t>
        </x:is>
      </x:c>
      <x:c r="AI2" s="6" t="inlineStr">
        <x:is>
          <x:t xml:space="preserve">C4 D5 confidence</x:t>
        </x:is>
      </x:c>
      <x:c r="AJ2" s="6" t="inlineStr">
        <x:is>
          <x:t xml:space="preserve">C5 L1</x:t>
        </x:is>
      </x:c>
      <x:c r="AK2" s="6" t="inlineStr">
        <x:is>
          <x:t xml:space="preserve">C5 L2</x:t>
        </x:is>
      </x:c>
      <x:c r="AL2" s="6" t="inlineStr">
        <x:is>
          <x:t xml:space="preserve">C5 L3</x:t>
        </x:is>
      </x:c>
      <x:c r="AM2" s="6" t="inlineStr">
        <x:is>
          <x:t xml:space="preserve">C5 D1</x:t>
        </x:is>
      </x:c>
      <x:c r="AN2" s="6" t="inlineStr">
        <x:is>
          <x:t xml:space="preserve">C5 D2 θ</x:t>
        </x:is>
      </x:c>
      <x:c r="AO2" s="6" t="inlineStr">
        <x:is>
          <x:t xml:space="preserve">C5 D5 confidence</x:t>
        </x:is>
      </x:c>
      <x:c r="AP2" s="6" t="inlineStr">
        <x:is>
          <x:t xml:space="preserve">V1.1</x:t>
        </x:is>
      </x:c>
      <x:c r="AQ2" s="6" t="inlineStr">
        <x:is>
          <x:t xml:space="preserve">V1.2</x:t>
        </x:is>
      </x:c>
      <x:c r="AR2" s="6" t="inlineStr">
        <x:is>
          <x:t xml:space="preserve">V2.1</x:t>
        </x:is>
      </x:c>
      <x:c r="AS2" s="6" t="inlineStr">
        <x:is>
          <x:t xml:space="preserve">V2.2</x:t>
        </x:is>
      </x:c>
      <x:c r="AT2" s="6" t="inlineStr">
        <x:is>
          <x:t xml:space="preserve">G4</x:t>
        </x:is>
      </x:c>
      <x:c r="AU2" s="6" t="inlineStr">
        <x:is>
          <x:t xml:space="preserve">S1</x:t>
        </x:is>
      </x:c>
      <x:c r="AV2" s="6" t="inlineStr">
        <x:is>
          <x:t xml:space="preserve">S2</x:t>
        </x:is>
      </x:c>
      <x:c r="AW2" s="6" t="inlineStr">
        <x:is>
          <x:t xml:space="preserve">S3</x:t>
        </x:is>
      </x:c>
      <x:c r="AX2" s="6" t="inlineStr">
        <x:is>
          <x:t xml:space="preserve">S4</x:t>
        </x:is>
      </x:c>
      <x:c r="AY2" s="6" t="inlineStr">
        <x:is>
          <x:t xml:space="preserve">S5</x:t>
        </x:is>
      </x:c>
      <x:c r="AZ2" s="6" t="inlineStr">
        <x:is>
          <x:t xml:space="preserve">S6</x:t>
        </x:is>
      </x:c>
      <x:c r="BA2" s="6" t="inlineStr">
        <x:is>
          <x:t xml:space="preserve">S7</x:t>
        </x:is>
      </x:c>
      <x:c r="BB2" s="6" t="inlineStr">
        <x:is>
          <x:t xml:space="preserve">S8</x:t>
        </x:is>
      </x:c>
      <x:c r="BC2" s="6" t="inlineStr">
        <x:is>
          <x:t xml:space="preserve">S9</x:t>
        </x:is>
      </x:c>
      <x:c r="BD2" s="6" t="inlineStr">
        <x:is>
          <x:t xml:space="preserve">S10</x:t>
        </x:is>
      </x:c>
      <x:c r="BE2" s="6" t="inlineStr">
        <x:is>
          <x:t xml:space="preserve">Total minutes</x:t>
        </x:is>
      </x:c>
      <x:c r="BF2" s="6" t="inlineStr">
        <x:is>
          <x:t xml:space="preserve">Import anomalies</x:t>
        </x:is>
      </x:c>
    </x:row>
    <x:row r="3">
      <x:c r="A3" s="5" t="inlineStr">
        <x:is>
          <x:t xml:space="preserve">P01</x:t>
        </x:is>
      </x:c>
      <x:c r="B3" s="5" t="inlineStr">
        <x:is>
          <x:t xml:space="preserve">X</x:t>
        </x:is>
      </x:c>
      <x:c r="C3" s="7" t="n">
        <x:v>4</x:v>
      </x:c>
      <x:c r="D3" s="7" t="n">
        <x:v>4</x:v>
      </x:c>
      <x:c r="E3" s="7" t="n">
        <x:v>2</x:v>
      </x:c>
      <x:c r="F3" s="7" t="n">
        <x:v>2</x:v>
      </x:c>
      <x:c r="G3" s="7" t="n">
        <x:v>2</x:v>
      </x:c>
      <x:c r="H3" s="7" t="n">
        <x:v>1</x:v>
      </x:c>
      <x:c r="I3" s="7" t="n">
        <x:v>2</x:v>
      </x:c>
      <x:c r="J3" s="7" t="n">
        <x:v>2</x:v>
      </x:c>
      <x:c r="K3" s="7" t="n">
        <x:v>2</x:v>
      </x:c>
      <x:c r="L3" s="7" t="n">
        <x:v>2</x:v>
      </x:c>
      <x:c r="M3" s="7" t="n">
        <x:v>2</x:v>
      </x:c>
      <x:c r="N3" s="7" t="n">
        <x:v>1</x:v>
      </x:c>
      <x:c r="O3" s="7" t="n">
        <x:v>3</x:v>
      </x:c>
      <x:c r="P3" s="7" t="n"/>
      <x:c r="Q3" s="7" t="n">
        <x:v>5</x:v>
      </x:c>
      <x:c r="R3" s="7" t="n">
        <x:v>2</x:v>
      </x:c>
      <x:c r="S3" s="7" t="n">
        <x:v>3</x:v>
      </x:c>
      <x:c r="T3" s="7" t="n">
        <x:v>4</x:v>
      </x:c>
      <x:c r="U3" s="7" t="n">
        <x:v>2</x:v>
      </x:c>
      <x:c r="V3" s="7" t="n"/>
      <x:c r="W3" s="7" t="n">
        <x:v>5</x:v>
      </x:c>
      <x:c r="X3" s="7" t="n">
        <x:v>3</x:v>
      </x:c>
      <x:c r="Y3" s="7" t="n">
        <x:v>2</x:v>
      </x:c>
      <x:c r="Z3" s="7" t="n">
        <x:v>2</x:v>
      </x:c>
      <x:c r="AA3" s="7" t="inlineStr">
        <x:is>
          <x:t xml:space="preserve">A</x:t>
        </x:is>
      </x:c>
      <x:c r="AB3" s="7" t="n">
        <x:v>0.5</x:v>
      </x:c>
      <x:c r="AC3" s="7" t="n">
        <x:v>6</x:v>
      </x:c>
      <x:c r="AD3" s="7" t="n">
        <x:v>4</x:v>
      </x:c>
      <x:c r="AE3" s="7" t="n">
        <x:v>3</x:v>
      </x:c>
      <x:c r="AF3" s="7" t="n">
        <x:v>2</x:v>
      </x:c>
      <x:c r="AG3" s="7" t="inlineStr">
        <x:is>
          <x:t xml:space="preserve">C</x:t>
        </x:is>
      </x:c>
      <x:c r="AH3" s="7" t="n">
        <x:v>0.8</x:v>
      </x:c>
      <x:c r="AI3" s="7" t="n">
        <x:v>6</x:v>
      </x:c>
      <x:c r="AJ3" s="7" t="n">
        <x:v>5</x:v>
      </x:c>
      <x:c r="AK3" s="7" t="n">
        <x:v>5</x:v>
      </x:c>
      <x:c r="AL3" s="7" t="n">
        <x:v>2</x:v>
      </x:c>
      <x:c r="AM3" s="7" t="inlineStr">
        <x:is>
          <x:t xml:space="preserve">T</x:t>
        </x:is>
      </x:c>
      <x:c r="AN3" s="7" t="n">
        <x:v>0.7</x:v>
      </x:c>
      <x:c r="AO3" s="7" t="n">
        <x:v>6</x:v>
      </x:c>
      <x:c r="AP3" s="7" t="n">
        <x:v>2</x:v>
      </x:c>
      <x:c r="AQ3" s="7" t="n">
        <x:v>2</x:v>
      </x:c>
      <x:c r="AR3" s="7" t="n">
        <x:v>2</x:v>
      </x:c>
      <x:c r="AS3" s="7" t="n">
        <x:v>2</x:v>
      </x:c>
      <x:c r="AT3" s="7" t="n">
        <x:v>4</x:v>
      </x:c>
      <x:c r="AU3" s="7" t="n">
        <x:v>4</x:v>
      </x:c>
      <x:c r="AV3" s="7" t="n">
        <x:v>2</x:v>
      </x:c>
      <x:c r="AW3" s="7" t="n">
        <x:v>4</x:v>
      </x:c>
      <x:c r="AX3" s="7" t="n">
        <x:v>3</x:v>
      </x:c>
      <x:c r="AY3" s="7" t="n">
        <x:v>3</x:v>
      </x:c>
      <x:c r="AZ3" s="7" t="n">
        <x:v>2</x:v>
      </x:c>
      <x:c r="BA3" s="7" t="n">
        <x:v>3</x:v>
      </x:c>
      <x:c r="BB3" s="7" t="n">
        <x:v>3</x:v>
      </x:c>
      <x:c r="BC3" s="7" t="n">
        <x:v>4</x:v>
      </x:c>
      <x:c r="BD3" s="7" t="n">
        <x:v>3</x:v>
      </x:c>
      <x:c r="BE3" s="7" t="n"/>
      <x:c r="BF3" s="7" t="inlineStr">
        <x:is>
          <x:t xml:space="preserve"/>
        </x:is>
      </x:c>
    </x:row>
    <x:row r="4">
      <x:c r="A4" s="5" t="inlineStr">
        <x:is>
          <x:t xml:space="preserve">P02</x:t>
        </x:is>
      </x:c>
      <x:c r="B4" s="5" t="inlineStr">
        <x:is>
          <x:t xml:space="preserve">Y</x:t>
        </x:is>
      </x:c>
      <x:c r="C4" s="7" t="n">
        <x:v>2</x:v>
      </x:c>
      <x:c r="D4" s="7" t="n">
        <x:v>4</x:v>
      </x:c>
      <x:c r="E4" s="7" t="n">
        <x:v>4</x:v>
      </x:c>
      <x:c r="F4" s="7" t="n">
        <x:v>2</x:v>
      </x:c>
      <x:c r="G4" s="7" t="n">
        <x:v>2</x:v>
      </x:c>
      <x:c r="H4" s="7" t="n">
        <x:v>1</x:v>
      </x:c>
      <x:c r="I4" s="7" t="n">
        <x:v>2</x:v>
      </x:c>
      <x:c r="J4" s="7" t="n">
        <x:v>2</x:v>
      </x:c>
      <x:c r="K4" s="7" t="n">
        <x:v>2</x:v>
      </x:c>
      <x:c r="L4" s="7" t="n">
        <x:v>4</x:v>
      </x:c>
      <x:c r="M4" s="7" t="n">
        <x:v>2</x:v>
      </x:c>
      <x:c r="N4" s="7" t="n">
        <x:v>2</x:v>
      </x:c>
      <x:c r="O4" s="7" t="inlineStr">
        <x:is>
          <x:t xml:space="preserve">C</x:t>
        </x:is>
      </x:c>
      <x:c r="P4" s="7" t="n">
        <x:v>0.6</x:v>
      </x:c>
      <x:c r="Q4" s="7" t="n">
        <x:v>5</x:v>
      </x:c>
      <x:c r="R4" s="7" t="n">
        <x:v>5</x:v>
      </x:c>
      <x:c r="S4" s="7" t="n">
        <x:v>3</x:v>
      </x:c>
      <x:c r="T4" s="7" t="n">
        <x:v>2</x:v>
      </x:c>
      <x:c r="U4" s="7" t="inlineStr">
        <x:is>
          <x:t xml:space="preserve">C</x:t>
        </x:is>
      </x:c>
      <x:c r="V4" s="7" t="n">
        <x:v>0.5</x:v>
      </x:c>
      <x:c r="W4" s="7" t="n">
        <x:v>5</x:v>
      </x:c>
      <x:c r="X4" s="7" t="n">
        <x:v>2</x:v>
      </x:c>
      <x:c r="Y4" s="7" t="n">
        <x:v>3</x:v>
      </x:c>
      <x:c r="Z4" s="7" t="n">
        <x:v>1</x:v>
      </x:c>
      <x:c r="AA4" s="7" t="n">
        <x:v>2</x:v>
      </x:c>
      <x:c r="AB4" s="7" t="n"/>
      <x:c r="AC4" s="7" t="n">
        <x:v>4</x:v>
      </x:c>
      <x:c r="AD4" s="7" t="n">
        <x:v>2</x:v>
      </x:c>
      <x:c r="AE4" s="7" t="n">
        <x:v>4</x:v>
      </x:c>
      <x:c r="AF4" s="7" t="n">
        <x:v>4</x:v>
      </x:c>
      <x:c r="AG4" s="7" t="n">
        <x:v>2</x:v>
      </x:c>
      <x:c r="AH4" s="7" t="n"/>
      <x:c r="AI4" s="7" t="n">
        <x:v>4</x:v>
      </x:c>
      <x:c r="AJ4" s="7" t="n">
        <x:v>6</x:v>
      </x:c>
      <x:c r="AK4" s="7" t="n">
        <x:v>4</x:v>
      </x:c>
      <x:c r="AL4" s="7" t="n">
        <x:v>2</x:v>
      </x:c>
      <x:c r="AM4" s="7" t="inlineStr">
        <x:is>
          <x:t xml:space="preserve">T</x:t>
        </x:is>
      </x:c>
      <x:c r="AN4" s="7" t="n">
        <x:v>0.8</x:v>
      </x:c>
      <x:c r="AO4" s="7" t="n">
        <x:v>5</x:v>
      </x:c>
      <x:c r="AP4" s="7" t="n">
        <x:v>2</x:v>
      </x:c>
      <x:c r="AQ4" s="7" t="n">
        <x:v>3</x:v>
      </x:c>
      <x:c r="AR4" s="7" t="n">
        <x:v>2</x:v>
      </x:c>
      <x:c r="AS4" s="7" t="n">
        <x:v>3</x:v>
      </x:c>
      <x:c r="AT4" s="7" t="n">
        <x:v>4</x:v>
      </x:c>
      <x:c r="AU4" s="7" t="n">
        <x:v>4</x:v>
      </x:c>
      <x:c r="AV4" s="7" t="n">
        <x:v>2</x:v>
      </x:c>
      <x:c r="AW4" s="7" t="n">
        <x:v>4</x:v>
      </x:c>
      <x:c r="AX4" s="7" t="n">
        <x:v>2</x:v>
      </x:c>
      <x:c r="AY4" s="7" t="n">
        <x:v>4</x:v>
      </x:c>
      <x:c r="AZ4" s="7" t="n">
        <x:v>1</x:v>
      </x:c>
      <x:c r="BA4" s="7" t="n">
        <x:v>4</x:v>
      </x:c>
      <x:c r="BB4" s="7" t="n">
        <x:v>1</x:v>
      </x:c>
      <x:c r="BC4" s="7" t="n">
        <x:v>4</x:v>
      </x:c>
      <x:c r="BD4" s="7" t="n">
        <x:v>2</x:v>
      </x:c>
      <x:c r="BE4" s="7" t="n"/>
      <x:c r="BF4" s="7" t="inlineStr">
        <x:is>
          <x:t xml:space="preserve"/>
        </x:is>
      </x:c>
    </x:row>
    <x:row r="5">
      <x:c r="A5" s="5" t="inlineStr">
        <x:is>
          <x:t xml:space="preserve">P03</x:t>
        </x:is>
      </x:c>
      <x:c r="B5" s="5" t="inlineStr">
        <x:is>
          <x:t xml:space="preserve">X</x:t>
        </x:is>
      </x:c>
      <x:c r="C5" s="7" t="n">
        <x:v>3</x:v>
      </x:c>
      <x:c r="D5" s="7" t="n">
        <x:v>4</x:v>
      </x:c>
      <x:c r="E5" s="7" t="n">
        <x:v>3</x:v>
      </x:c>
      <x:c r="F5" s="7" t="n">
        <x:v>2</x:v>
      </x:c>
      <x:c r="G5" s="7" t="n">
        <x:v>2</x:v>
      </x:c>
      <x:c r="H5" s="7" t="n">
        <x:v>1</x:v>
      </x:c>
      <x:c r="I5" s="7" t="n">
        <x:v>2</x:v>
      </x:c>
      <x:c r="J5" s="7" t="n">
        <x:v>2</x:v>
      </x:c>
      <x:c r="K5" s="7" t="n">
        <x:v>2</x:v>
      </x:c>
      <x:c r="L5" s="7" t="n">
        <x:v>2</x:v>
      </x:c>
      <x:c r="M5" s="7" t="n">
        <x:v>4</x:v>
      </x:c>
      <x:c r="N5" s="7" t="n">
        <x:v>1</x:v>
      </x:c>
      <x:c r="O5" s="7" t="n">
        <x:v>1</x:v>
      </x:c>
      <x:c r="P5" s="7" t="n"/>
      <x:c r="Q5" s="7" t="n">
        <x:v>6</x:v>
      </x:c>
      <x:c r="R5" s="7" t="n">
        <x:v>2</x:v>
      </x:c>
      <x:c r="S5" s="7" t="n">
        <x:v>2</x:v>
      </x:c>
      <x:c r="T5" s="7" t="n">
        <x:v>4</x:v>
      </x:c>
      <x:c r="U5" s="7" t="n">
        <x:v>1</x:v>
      </x:c>
      <x:c r="V5" s="7" t="n"/>
      <x:c r="W5" s="7" t="n">
        <x:v>6</x:v>
      </x:c>
      <x:c r="X5" s="7" t="n">
        <x:v>3</x:v>
      </x:c>
      <x:c r="Y5" s="7" t="n">
        <x:v>2</x:v>
      </x:c>
      <x:c r="Z5" s="7" t="n">
        <x:v>3</x:v>
      </x:c>
      <x:c r="AA5" s="7" t="inlineStr">
        <x:is>
          <x:t xml:space="preserve">B</x:t>
        </x:is>
      </x:c>
      <x:c r="AB5" s="7" t="n">
        <x:v>0.7</x:v>
      </x:c>
      <x:c r="AC5" s="7" t="n">
        <x:v>7</x:v>
      </x:c>
      <x:c r="AD5" s="7" t="n">
        <x:v>4</x:v>
      </x:c>
      <x:c r="AE5" s="7" t="n">
        <x:v>3</x:v>
      </x:c>
      <x:c r="AF5" s="7" t="n">
        <x:v>3</x:v>
      </x:c>
      <x:c r="AG5" s="7" t="inlineStr">
        <x:is>
          <x:t xml:space="preserve">C</x:t>
        </x:is>
      </x:c>
      <x:c r="AH5" s="7" t="n">
        <x:v>0.7</x:v>
      </x:c>
      <x:c r="AI5" s="7" t="n">
        <x:v>7</x:v>
      </x:c>
      <x:c r="AJ5" s="7" t="n">
        <x:v>6</x:v>
      </x:c>
      <x:c r="AK5" s="7" t="n">
        <x:v>5</x:v>
      </x:c>
      <x:c r="AL5" s="7" t="n">
        <x:v>3</x:v>
      </x:c>
      <x:c r="AM5" s="7" t="inlineStr">
        <x:is>
          <x:t xml:space="preserve">T</x:t>
        </x:is>
      </x:c>
      <x:c r="AN5" s="7" t="n">
        <x:v>0.7</x:v>
      </x:c>
      <x:c r="AO5" s="7" t="n">
        <x:v>6</x:v>
      </x:c>
      <x:c r="AP5" s="7" t="n">
        <x:v>1</x:v>
      </x:c>
      <x:c r="AQ5" s="7" t="n">
        <x:v>3</x:v>
      </x:c>
      <x:c r="AR5" s="7" t="n">
        <x:v>2</x:v>
      </x:c>
      <x:c r="AS5" s="7" t="n">
        <x:v>3</x:v>
      </x:c>
      <x:c r="AT5" s="7" t="n">
        <x:v>4</x:v>
      </x:c>
      <x:c r="AU5" s="7" t="n">
        <x:v>4</x:v>
      </x:c>
      <x:c r="AV5" s="7" t="n">
        <x:v>2</x:v>
      </x:c>
      <x:c r="AW5" s="7" t="n">
        <x:v>4</x:v>
      </x:c>
      <x:c r="AX5" s="7" t="n">
        <x:v>2</x:v>
      </x:c>
      <x:c r="AY5" s="7" t="n">
        <x:v>4</x:v>
      </x:c>
      <x:c r="AZ5" s="7" t="n">
        <x:v>2</x:v>
      </x:c>
      <x:c r="BA5" s="7" t="n">
        <x:v>4</x:v>
      </x:c>
      <x:c r="BB5" s="7" t="n">
        <x:v>2</x:v>
      </x:c>
      <x:c r="BC5" s="7" t="n">
        <x:v>4</x:v>
      </x:c>
      <x:c r="BD5" s="7" t="n">
        <x:v>2</x:v>
      </x:c>
      <x:c r="BE5" s="7" t="n"/>
      <x:c r="BF5" s="7" t="inlineStr">
        <x:is>
          <x:t xml:space="preserve"/>
        </x:is>
      </x:c>
    </x:row>
    <x:row r="6">
      <x:c r="A6" s="5" t="inlineStr">
        <x:is>
          <x:t xml:space="preserve">P04</x:t>
        </x:is>
      </x:c>
      <x:c r="B6" s="5" t="inlineStr">
        <x:is>
          <x:t xml:space="preserve">Y</x:t>
        </x:is>
      </x:c>
      <x:c r="C6" s="7" t="n">
        <x:v>4</x:v>
      </x:c>
      <x:c r="D6" s="7" t="n">
        <x:v>3</x:v>
      </x:c>
      <x:c r="E6" s="7" t="n">
        <x:v>3</x:v>
      </x:c>
      <x:c r="F6" s="7" t="n">
        <x:v>1</x:v>
      </x:c>
      <x:c r="G6" s="7" t="n">
        <x:v>2</x:v>
      </x:c>
      <x:c r="H6" s="7" t="n">
        <x:v>1</x:v>
      </x:c>
      <x:c r="I6" s="7" t="n">
        <x:v>2</x:v>
      </x:c>
      <x:c r="J6" s="7" t="n">
        <x:v>2</x:v>
      </x:c>
      <x:c r="K6" s="7" t="n">
        <x:v>2</x:v>
      </x:c>
      <x:c r="L6" s="7" t="n">
        <x:v>4</x:v>
      </x:c>
      <x:c r="M6" s="7" t="n">
        <x:v>2</x:v>
      </x:c>
      <x:c r="N6" s="7" t="n">
        <x:v>2</x:v>
      </x:c>
      <x:c r="O6" s="7" t="inlineStr">
        <x:is>
          <x:t xml:space="preserve">C</x:t>
        </x:is>
      </x:c>
      <x:c r="P6" s="7" t="n">
        <x:v>0.8</x:v>
      </x:c>
      <x:c r="Q6" s="7" t="n">
        <x:v>5</x:v>
      </x:c>
      <x:c r="R6" s="7" t="n">
        <x:v>5</x:v>
      </x:c>
      <x:c r="S6" s="7" t="n">
        <x:v>3</x:v>
      </x:c>
      <x:c r="T6" s="7" t="n">
        <x:v>2</x:v>
      </x:c>
      <x:c r="U6" s="7" t="inlineStr">
        <x:is>
          <x:t xml:space="preserve">C</x:t>
        </x:is>
      </x:c>
      <x:c r="V6" s="7" t="n">
        <x:v>0.7</x:v>
      </x:c>
      <x:c r="W6" s="7" t="n">
        <x:v>5</x:v>
      </x:c>
      <x:c r="X6" s="7" t="n">
        <x:v>2</x:v>
      </x:c>
      <x:c r="Y6" s="7" t="n">
        <x:v>3</x:v>
      </x:c>
      <x:c r="Z6" s="7" t="n">
        <x:v>1</x:v>
      </x:c>
      <x:c r="AA6" s="7" t="n">
        <x:v>1</x:v>
      </x:c>
      <x:c r="AB6" s="7" t="n"/>
      <x:c r="AC6" s="7" t="n">
        <x:v>6</x:v>
      </x:c>
      <x:c r="AD6" s="7" t="n">
        <x:v>2</x:v>
      </x:c>
      <x:c r="AE6" s="7" t="n">
        <x:v>4</x:v>
      </x:c>
      <x:c r="AF6" s="7" t="n">
        <x:v>4</x:v>
      </x:c>
      <x:c r="AG6" s="7" t="n">
        <x:v>2</x:v>
      </x:c>
      <x:c r="AH6" s="7" t="n"/>
      <x:c r="AI6" s="7" t="n">
        <x:v>5</x:v>
      </x:c>
      <x:c r="AJ6" s="7" t="n">
        <x:v>6</x:v>
      </x:c>
      <x:c r="AK6" s="7" t="n">
        <x:v>3</x:v>
      </x:c>
      <x:c r="AL6" s="7" t="n">
        <x:v>2</x:v>
      </x:c>
      <x:c r="AM6" s="7" t="inlineStr">
        <x:is>
          <x:t xml:space="preserve">T</x:t>
        </x:is>
      </x:c>
      <x:c r="AN6" s="7" t="n">
        <x:v>0.8</x:v>
      </x:c>
      <x:c r="AO6" s="7" t="n">
        <x:v>7</x:v>
      </x:c>
      <x:c r="AP6" s="7" t="n">
        <x:v>2</x:v>
      </x:c>
      <x:c r="AQ6" s="7" t="n">
        <x:v>3</x:v>
      </x:c>
      <x:c r="AR6" s="7" t="n">
        <x:v>2</x:v>
      </x:c>
      <x:c r="AS6" s="7" t="n">
        <x:v>3</x:v>
      </x:c>
      <x:c r="AT6" s="7" t="n">
        <x:v>4</x:v>
      </x:c>
      <x:c r="AU6" s="7" t="n"/>
      <x:c r="AV6" s="7" t="n">
        <x:v>1</x:v>
      </x:c>
      <x:c r="AW6" s="7" t="n">
        <x:v>5</x:v>
      </x:c>
      <x:c r="AX6" s="7" t="n">
        <x:v>2</x:v>
      </x:c>
      <x:c r="AY6" s="7" t="n">
        <x:v>5</x:v>
      </x:c>
      <x:c r="AZ6" s="7" t="n">
        <x:v>1</x:v>
      </x:c>
      <x:c r="BA6" s="7" t="n">
        <x:v>3</x:v>
      </x:c>
      <x:c r="BB6" s="7" t="n">
        <x:v>1</x:v>
      </x:c>
      <x:c r="BC6" s="7" t="n">
        <x:v>5</x:v>
      </x:c>
      <x:c r="BD6" s="7" t="n">
        <x:v>2</x:v>
      </x:c>
      <x:c r="BE6" s="7" t="n"/>
      <x:c r="BF6" s="7" t="inlineStr">
        <x:is>
          <x:t xml:space="preserve"/>
        </x:is>
      </x:c>
    </x:row>
    <x:row r="7">
      <x:c r="A7" s="5" t="inlineStr">
        <x:is>
          <x:t xml:space="preserve">P05</x:t>
        </x:is>
      </x:c>
      <x:c r="B7" s="5" t="inlineStr">
        <x:is>
          <x:t xml:space="preserve">X</x:t>
        </x:is>
      </x:c>
      <x:c r="C7" s="7" t="n">
        <x:v>3</x:v>
      </x:c>
      <x:c r="D7" s="7" t="n">
        <x:v>5</x:v>
      </x:c>
      <x:c r="E7" s="7" t="n">
        <x:v>2</x:v>
      </x:c>
      <x:c r="F7" s="7" t="n">
        <x:v>2</x:v>
      </x:c>
      <x:c r="G7" s="7" t="n">
        <x:v>2</x:v>
      </x:c>
      <x:c r="H7" s="7" t="n">
        <x:v>1</x:v>
      </x:c>
      <x:c r="I7" s="7" t="n">
        <x:v>2</x:v>
      </x:c>
      <x:c r="J7" s="7" t="n">
        <x:v>2</x:v>
      </x:c>
      <x:c r="K7" s="7" t="n">
        <x:v>2</x:v>
      </x:c>
      <x:c r="L7" s="7" t="n">
        <x:v>2</x:v>
      </x:c>
      <x:c r="M7" s="7" t="n">
        <x:v>4</x:v>
      </x:c>
      <x:c r="N7" s="7" t="n">
        <x:v>1</x:v>
      </x:c>
      <x:c r="O7" s="7" t="n">
        <x:v>2</x:v>
      </x:c>
      <x:c r="P7" s="7" t="n"/>
      <x:c r="Q7" s="7" t="n">
        <x:v>4</x:v>
      </x:c>
      <x:c r="R7" s="7" t="n">
        <x:v>2</x:v>
      </x:c>
      <x:c r="S7" s="7" t="n">
        <x:v>2</x:v>
      </x:c>
      <x:c r="T7" s="7" t="n">
        <x:v>4</x:v>
      </x:c>
      <x:c r="U7" s="7" t="n">
        <x:v>2</x:v>
      </x:c>
      <x:c r="V7" s="7" t="n"/>
      <x:c r="W7" s="7" t="n">
        <x:v>5</x:v>
      </x:c>
      <x:c r="X7" s="7" t="n">
        <x:v>3</x:v>
      </x:c>
      <x:c r="Y7" s="7" t="n">
        <x:v>2</x:v>
      </x:c>
      <x:c r="Z7" s="7" t="n">
        <x:v>2</x:v>
      </x:c>
      <x:c r="AA7" s="7" t="inlineStr">
        <x:is>
          <x:t xml:space="preserve">B</x:t>
        </x:is>
      </x:c>
      <x:c r="AB7" s="7" t="n">
        <x:v>0.7</x:v>
      </x:c>
      <x:c r="AC7" s="7" t="n">
        <x:v>5</x:v>
      </x:c>
      <x:c r="AD7" s="7" t="n">
        <x:v>4</x:v>
      </x:c>
      <x:c r="AE7" s="7" t="n">
        <x:v>3</x:v>
      </x:c>
      <x:c r="AF7" s="7" t="n">
        <x:v>2</x:v>
      </x:c>
      <x:c r="AG7" s="7" t="inlineStr">
        <x:is>
          <x:t xml:space="preserve">C</x:t>
        </x:is>
      </x:c>
      <x:c r="AH7" s="7" t="n">
        <x:v>0.5</x:v>
      </x:c>
      <x:c r="AI7" s="7" t="n">
        <x:v>6</x:v>
      </x:c>
      <x:c r="AJ7" s="7" t="n">
        <x:v>6</x:v>
      </x:c>
      <x:c r="AK7" s="7" t="n">
        <x:v>5</x:v>
      </x:c>
      <x:c r="AL7" s="7" t="n">
        <x:v>2</x:v>
      </x:c>
      <x:c r="AM7" s="7" t="inlineStr">
        <x:is>
          <x:t xml:space="preserve">T</x:t>
        </x:is>
      </x:c>
      <x:c r="AN7" s="7" t="n">
        <x:v>0.7</x:v>
      </x:c>
      <x:c r="AO7" s="7" t="n">
        <x:v>5</x:v>
      </x:c>
      <x:c r="AP7" s="7" t="n">
        <x:v>2</x:v>
      </x:c>
      <x:c r="AQ7" s="7" t="n">
        <x:v>3</x:v>
      </x:c>
      <x:c r="AR7" s="7" t="n">
        <x:v>2</x:v>
      </x:c>
      <x:c r="AS7" s="7" t="n">
        <x:v>3</x:v>
      </x:c>
      <x:c r="AT7" s="7" t="n">
        <x:v>4</x:v>
      </x:c>
      <x:c r="AU7" s="7" t="n">
        <x:v>4</x:v>
      </x:c>
      <x:c r="AV7" s="7" t="n">
        <x:v>2</x:v>
      </x:c>
      <x:c r="AW7" s="7" t="n">
        <x:v>4</x:v>
      </x:c>
      <x:c r="AX7" s="7" t="n">
        <x:v>2</x:v>
      </x:c>
      <x:c r="AY7" s="7" t="n">
        <x:v>4</x:v>
      </x:c>
      <x:c r="AZ7" s="7" t="n">
        <x:v>1</x:v>
      </x:c>
      <x:c r="BA7" s="7" t="n">
        <x:v>4</x:v>
      </x:c>
      <x:c r="BB7" s="7" t="n">
        <x:v>1</x:v>
      </x:c>
      <x:c r="BC7" s="7" t="n">
        <x:v>4</x:v>
      </x:c>
      <x:c r="BD7" s="7" t="n">
        <x:v>2</x:v>
      </x:c>
      <x:c r="BE7" s="7" t="n"/>
      <x:c r="BF7" s="7" t="inlineStr">
        <x:is>
          <x:t xml:space="preserve"/>
        </x:is>
      </x:c>
    </x:row>
    <x:row r="8">
      <x:c r="A8" s="5" t="inlineStr">
        <x:is>
          <x:t xml:space="preserve">P06</x:t>
        </x:is>
      </x:c>
      <x:c r="B8" s="5" t="inlineStr">
        <x:is>
          <x:t xml:space="preserve">Y</x:t>
        </x:is>
      </x:c>
      <x:c r="C8" s="7" t="n">
        <x:v>5</x:v>
      </x:c>
      <x:c r="D8" s="7" t="n">
        <x:v>4</x:v>
      </x:c>
      <x:c r="E8" s="7" t="n">
        <x:v>1</x:v>
      </x:c>
      <x:c r="F8" s="7" t="n">
        <x:v>1</x:v>
      </x:c>
      <x:c r="G8" s="7" t="n">
        <x:v>2</x:v>
      </x:c>
      <x:c r="H8" s="7" t="n">
        <x:v>1</x:v>
      </x:c>
      <x:c r="I8" s="7" t="n">
        <x:v>2</x:v>
      </x:c>
      <x:c r="J8" s="7" t="n">
        <x:v>2</x:v>
      </x:c>
      <x:c r="K8" s="7" t="n">
        <x:v>2</x:v>
      </x:c>
      <x:c r="L8" s="7" t="n">
        <x:v>4</x:v>
      </x:c>
      <x:c r="M8" s="7" t="n">
        <x:v>2</x:v>
      </x:c>
      <x:c r="N8" s="7" t="n">
        <x:v>2</x:v>
      </x:c>
      <x:c r="O8" s="7" t="inlineStr">
        <x:is>
          <x:t xml:space="preserve">N</x:t>
        </x:is>
      </x:c>
      <x:c r="P8" s="7" t="n">
        <x:v>0</x:v>
      </x:c>
      <x:c r="Q8" s="7" t="n">
        <x:v>6</x:v>
      </x:c>
      <x:c r="R8" s="7" t="n">
        <x:v>5</x:v>
      </x:c>
      <x:c r="S8" s="7" t="n">
        <x:v>3</x:v>
      </x:c>
      <x:c r="T8" s="7" t="n">
        <x:v>2</x:v>
      </x:c>
      <x:c r="U8" s="7" t="inlineStr">
        <x:is>
          <x:t xml:space="preserve">B</x:t>
        </x:is>
      </x:c>
      <x:c r="V8" s="7" t="n">
        <x:v>0</x:v>
      </x:c>
      <x:c r="W8" s="7" t="n">
        <x:v>6</x:v>
      </x:c>
      <x:c r="X8" s="7" t="n">
        <x:v>2</x:v>
      </x:c>
      <x:c r="Y8" s="7" t="n">
        <x:v>3</x:v>
      </x:c>
      <x:c r="Z8" s="7" t="n">
        <x:v>2</x:v>
      </x:c>
      <x:c r="AA8" s="7" t="n">
        <x:v>1</x:v>
      </x:c>
      <x:c r="AB8" s="7" t="n"/>
      <x:c r="AC8" s="7" t="n">
        <x:v>6</x:v>
      </x:c>
      <x:c r="AD8" s="7" t="n">
        <x:v>2</x:v>
      </x:c>
      <x:c r="AE8" s="7" t="n">
        <x:v>3</x:v>
      </x:c>
      <x:c r="AF8" s="7" t="n">
        <x:v>3</x:v>
      </x:c>
      <x:c r="AG8" s="7" t="n">
        <x:v>1</x:v>
      </x:c>
      <x:c r="AH8" s="7" t="n"/>
      <x:c r="AI8" s="7" t="n">
        <x:v>5</x:v>
      </x:c>
      <x:c r="AJ8" s="7" t="n">
        <x:v>6</x:v>
      </x:c>
      <x:c r="AK8" s="7" t="n">
        <x:v>3</x:v>
      </x:c>
      <x:c r="AL8" s="7" t="n">
        <x:v>2</x:v>
      </x:c>
      <x:c r="AM8" s="7" t="inlineStr">
        <x:is>
          <x:t xml:space="preserve">S</x:t>
        </x:is>
      </x:c>
      <x:c r="AN8" s="7" t="n">
        <x:v>0.6</x:v>
      </x:c>
      <x:c r="AO8" s="7" t="n">
        <x:v>5</x:v>
      </x:c>
      <x:c r="AP8" s="7" t="n">
        <x:v>2</x:v>
      </x:c>
      <x:c r="AQ8" s="7" t="n">
        <x:v>3</x:v>
      </x:c>
      <x:c r="AR8" s="7" t="n">
        <x:v>2</x:v>
      </x:c>
      <x:c r="AS8" s="7" t="n">
        <x:v>3</x:v>
      </x:c>
      <x:c r="AT8" s="7" t="n">
        <x:v>4</x:v>
      </x:c>
      <x:c r="AU8" s="7" t="n">
        <x:v>5</x:v>
      </x:c>
      <x:c r="AV8" s="7" t="n">
        <x:v>1</x:v>
      </x:c>
      <x:c r="AW8" s="7" t="n">
        <x:v>5</x:v>
      </x:c>
      <x:c r="AX8" s="7" t="n">
        <x:v>5</x:v>
      </x:c>
      <x:c r="AY8" s="7" t="n">
        <x:v>4</x:v>
      </x:c>
      <x:c r="AZ8" s="7" t="n">
        <x:v>1</x:v>
      </x:c>
      <x:c r="BA8" s="7" t="n">
        <x:v>4</x:v>
      </x:c>
      <x:c r="BB8" s="7" t="n">
        <x:v>2</x:v>
      </x:c>
      <x:c r="BC8" s="7" t="n">
        <x:v>5</x:v>
      </x:c>
      <x:c r="BD8" s="7" t="n">
        <x:v>2</x:v>
      </x:c>
      <x:c r="BE8" s="7" t="n"/>
      <x:c r="BF8" s="7" t="inlineStr">
        <x:is>
          <x:t xml:space="preserve"/>
        </x:is>
      </x:c>
    </x:row>
    <x:row r="9">
      <x:c r="A9" s="5" t="inlineStr">
        <x:is>
          <x:t xml:space="preserve">P07</x:t>
        </x:is>
      </x:c>
      <x:c r="B9" s="5" t="inlineStr">
        <x:is>
          <x:t xml:space="preserve">X</x:t>
        </x:is>
      </x:c>
      <x:c r="C9" s="7" t="n">
        <x:v>3</x:v>
      </x:c>
      <x:c r="D9" s="7" t="n">
        <x:v>5</x:v>
      </x:c>
      <x:c r="E9" s="7" t="n">
        <x:v>2</x:v>
      </x:c>
      <x:c r="F9" s="7" t="n">
        <x:v>3</x:v>
      </x:c>
      <x:c r="G9" s="7" t="n">
        <x:v>2</x:v>
      </x:c>
      <x:c r="H9" s="7" t="n">
        <x:v>1</x:v>
      </x:c>
      <x:c r="I9" s="7" t="n">
        <x:v>2</x:v>
      </x:c>
      <x:c r="J9" s="7" t="n">
        <x:v>2</x:v>
      </x:c>
      <x:c r="K9" s="7" t="n">
        <x:v>2</x:v>
      </x:c>
      <x:c r="L9" s="7" t="n">
        <x:v>2</x:v>
      </x:c>
      <x:c r="M9" s="7" t="n">
        <x:v>4</x:v>
      </x:c>
      <x:c r="N9" s="7" t="n">
        <x:v>1</x:v>
      </x:c>
      <x:c r="O9" s="7" t="n">
        <x:v>1</x:v>
      </x:c>
      <x:c r="P9" s="7" t="n"/>
      <x:c r="Q9" s="7" t="n">
        <x:v>7</x:v>
      </x:c>
      <x:c r="R9" s="7" t="n">
        <x:v>2</x:v>
      </x:c>
      <x:c r="S9" s="7" t="n">
        <x:v>2</x:v>
      </x:c>
      <x:c r="T9" s="7" t="n">
        <x:v>4</x:v>
      </x:c>
      <x:c r="U9" s="7" t="n">
        <x:v>1</x:v>
      </x:c>
      <x:c r="V9" s="7" t="n"/>
      <x:c r="W9" s="7" t="n">
        <x:v>5</x:v>
      </x:c>
      <x:c r="X9" s="7" t="n">
        <x:v>3</x:v>
      </x:c>
      <x:c r="Y9" s="7" t="n">
        <x:v>2</x:v>
      </x:c>
      <x:c r="Z9" s="7" t="n">
        <x:v>2</x:v>
      </x:c>
      <x:c r="AA9" s="7" t="inlineStr">
        <x:is>
          <x:t xml:space="preserve">B</x:t>
        </x:is>
      </x:c>
      <x:c r="AB9" s="7" t="n">
        <x:v>0.7</x:v>
      </x:c>
      <x:c r="AC9" s="7" t="n">
        <x:v>7</x:v>
      </x:c>
      <x:c r="AD9" s="7" t="n">
        <x:v>4</x:v>
      </x:c>
      <x:c r="AE9" s="7" t="n">
        <x:v>3</x:v>
      </x:c>
      <x:c r="AF9" s="7" t="n">
        <x:v>2</x:v>
      </x:c>
      <x:c r="AG9" s="7" t="inlineStr">
        <x:is>
          <x:t xml:space="preserve">C</x:t>
        </x:is>
      </x:c>
      <x:c r="AH9" s="7" t="n">
        <x:v>0.6</x:v>
      </x:c>
      <x:c r="AI9" s="7" t="n">
        <x:v>6</x:v>
      </x:c>
      <x:c r="AJ9" s="7" t="n">
        <x:v>6</x:v>
      </x:c>
      <x:c r="AK9" s="7" t="n">
        <x:v>5</x:v>
      </x:c>
      <x:c r="AL9" s="7" t="n">
        <x:v>2</x:v>
      </x:c>
      <x:c r="AM9" s="7" t="inlineStr">
        <x:is>
          <x:t xml:space="preserve">T</x:t>
        </x:is>
      </x:c>
      <x:c r="AN9" s="7" t="n">
        <x:v>0.7</x:v>
      </x:c>
      <x:c r="AO9" s="7" t="n">
        <x:v>5</x:v>
      </x:c>
      <x:c r="AP9" s="7" t="n">
        <x:v>2</x:v>
      </x:c>
      <x:c r="AQ9" s="7" t="n">
        <x:v>3</x:v>
      </x:c>
      <x:c r="AR9" s="7" t="n">
        <x:v>2</x:v>
      </x:c>
      <x:c r="AS9" s="7" t="n">
        <x:v>3</x:v>
      </x:c>
      <x:c r="AT9" s="7" t="n">
        <x:v>4</x:v>
      </x:c>
      <x:c r="AU9" s="7" t="n">
        <x:v>4</x:v>
      </x:c>
      <x:c r="AV9" s="7" t="n">
        <x:v>2</x:v>
      </x:c>
      <x:c r="AW9" s="7" t="n">
        <x:v>4</x:v>
      </x:c>
      <x:c r="AX9" s="7" t="n">
        <x:v>2</x:v>
      </x:c>
      <x:c r="AY9" s="7" t="n">
        <x:v>4</x:v>
      </x:c>
      <x:c r="AZ9" s="7" t="n">
        <x:v>1</x:v>
      </x:c>
      <x:c r="BA9" s="7" t="n">
        <x:v>4</x:v>
      </x:c>
      <x:c r="BB9" s="7" t="n">
        <x:v>1</x:v>
      </x:c>
      <x:c r="BC9" s="7" t="n">
        <x:v>4</x:v>
      </x:c>
      <x:c r="BD9" s="7" t="n">
        <x:v>2</x:v>
      </x:c>
      <x:c r="BE9" s="7" t="n"/>
      <x:c r="BF9" s="7" t="inlineStr">
        <x:is>
          <x:t xml:space="preserve"/>
        </x:is>
      </x:c>
    </x:row>
    <x:row r="10">
      <x:c r="A10" s="5" t="inlineStr">
        <x:is>
          <x:t xml:space="preserve">P08</x:t>
        </x:is>
      </x:c>
      <x:c r="B10" s="5" t="inlineStr">
        <x:is>
          <x:t xml:space="preserve">Y</x:t>
        </x:is>
      </x:c>
      <x:c r="C10" s="7" t="n">
        <x:v>3</x:v>
      </x:c>
      <x:c r="D10" s="7" t="n">
        <x:v>5</x:v>
      </x:c>
      <x:c r="E10" s="7" t="n">
        <x:v>2</x:v>
      </x:c>
      <x:c r="F10" s="7" t="n">
        <x:v>3</x:v>
      </x:c>
      <x:c r="G10" s="7" t="n">
        <x:v>2</x:v>
      </x:c>
      <x:c r="H10" s="7" t="n">
        <x:v>1</x:v>
      </x:c>
      <x:c r="I10" s="7" t="n">
        <x:v>2</x:v>
      </x:c>
      <x:c r="J10" s="7" t="n">
        <x:v>2</x:v>
      </x:c>
      <x:c r="K10" s="7" t="n">
        <x:v>2</x:v>
      </x:c>
      <x:c r="L10" s="7" t="n">
        <x:v>4</x:v>
      </x:c>
      <x:c r="M10" s="7" t="n">
        <x:v>2</x:v>
      </x:c>
      <x:c r="N10" s="7" t="n">
        <x:v>2</x:v>
      </x:c>
      <x:c r="O10" s="7" t="inlineStr">
        <x:is>
          <x:t xml:space="preserve">A</x:t>
        </x:is>
      </x:c>
      <x:c r="P10" s="7" t="n">
        <x:v>0.6</x:v>
      </x:c>
      <x:c r="Q10" s="7" t="n">
        <x:v>6</x:v>
      </x:c>
      <x:c r="R10" s="7" t="n">
        <x:v>5</x:v>
      </x:c>
      <x:c r="S10" s="7" t="n">
        <x:v>3</x:v>
      </x:c>
      <x:c r="T10" s="7" t="n">
        <x:v>2</x:v>
      </x:c>
      <x:c r="U10" s="7" t="inlineStr">
        <x:is>
          <x:t xml:space="preserve">C</x:t>
        </x:is>
      </x:c>
      <x:c r="V10" s="7" t="n">
        <x:v>0.7</x:v>
      </x:c>
      <x:c r="W10" s="7" t="n">
        <x:v>6</x:v>
      </x:c>
      <x:c r="X10" s="7" t="n">
        <x:v>2</x:v>
      </x:c>
      <x:c r="Y10" s="7" t="n">
        <x:v>3</x:v>
      </x:c>
      <x:c r="Z10" s="7" t="n">
        <x:v>1</x:v>
      </x:c>
      <x:c r="AA10" s="7" t="n">
        <x:v>1</x:v>
      </x:c>
      <x:c r="AB10" s="7" t="n"/>
      <x:c r="AC10" s="7" t="n">
        <x:v>5</x:v>
      </x:c>
      <x:c r="AD10" s="7" t="n">
        <x:v>2</x:v>
      </x:c>
      <x:c r="AE10" s="7" t="n">
        <x:v>4</x:v>
      </x:c>
      <x:c r="AF10" s="7" t="n">
        <x:v>4</x:v>
      </x:c>
      <x:c r="AG10" s="7" t="n">
        <x:v>1</x:v>
      </x:c>
      <x:c r="AH10" s="7" t="n"/>
      <x:c r="AI10" s="7" t="n">
        <x:v>4</x:v>
      </x:c>
      <x:c r="AJ10" s="7" t="n">
        <x:v>6</x:v>
      </x:c>
      <x:c r="AK10" s="7" t="n">
        <x:v>3</x:v>
      </x:c>
      <x:c r="AL10" s="7" t="n">
        <x:v>2</x:v>
      </x:c>
      <x:c r="AM10" s="7" t="inlineStr">
        <x:is>
          <x:t xml:space="preserve">R</x:t>
        </x:is>
      </x:c>
      <x:c r="AN10" s="7" t="n">
        <x:v>0.7</x:v>
      </x:c>
      <x:c r="AO10" s="7" t="n">
        <x:v>5</x:v>
      </x:c>
      <x:c r="AP10" s="7" t="n">
        <x:v>2</x:v>
      </x:c>
      <x:c r="AQ10" s="7" t="n">
        <x:v>3</x:v>
      </x:c>
      <x:c r="AR10" s="7" t="n">
        <x:v>2</x:v>
      </x:c>
      <x:c r="AS10" s="7" t="n">
        <x:v>3</x:v>
      </x:c>
      <x:c r="AT10" s="7" t="n">
        <x:v>4</x:v>
      </x:c>
      <x:c r="AU10" s="7" t="n">
        <x:v>4</x:v>
      </x:c>
      <x:c r="AV10" s="7" t="n">
        <x:v>2</x:v>
      </x:c>
      <x:c r="AW10" s="7" t="n">
        <x:v>4</x:v>
      </x:c>
      <x:c r="AX10" s="7" t="n">
        <x:v>2</x:v>
      </x:c>
      <x:c r="AY10" s="7" t="n">
        <x:v>4</x:v>
      </x:c>
      <x:c r="AZ10" s="7" t="n">
        <x:v>1</x:v>
      </x:c>
      <x:c r="BA10" s="7" t="n">
        <x:v>4</x:v>
      </x:c>
      <x:c r="BB10" s="7" t="n">
        <x:v>1</x:v>
      </x:c>
      <x:c r="BC10" s="7" t="n">
        <x:v>4</x:v>
      </x:c>
      <x:c r="BD10" s="7" t="n">
        <x:v>2</x:v>
      </x:c>
      <x:c r="BE10" s="7" t="n"/>
      <x:c r="BF10" s="7" t="inlineStr">
        <x:is>
          <x:t xml:space="preserve"/>
        </x:is>
      </x:c>
    </x:row>
    <x:row r="11">
      <x:c r="A11" s="5" t="inlineStr">
        <x:is>
          <x:t xml:space="preserve">P09</x:t>
        </x:is>
      </x:c>
      <x:c r="B11" s="5" t="inlineStr">
        <x:is>
          <x:t xml:space="preserve">X</x:t>
        </x:is>
      </x:c>
      <x:c r="C11" s="7" t="n">
        <x:v>3</x:v>
      </x:c>
      <x:c r="D11" s="7" t="n">
        <x:v>5</x:v>
      </x:c>
      <x:c r="E11" s="7" t="n">
        <x:v>2</x:v>
      </x:c>
      <x:c r="F11" s="7" t="n">
        <x:v>3</x:v>
      </x:c>
      <x:c r="G11" s="7" t="n">
        <x:v>2</x:v>
      </x:c>
      <x:c r="H11" s="7" t="n">
        <x:v>1</x:v>
      </x:c>
      <x:c r="I11" s="7" t="n">
        <x:v>2</x:v>
      </x:c>
      <x:c r="J11" s="7" t="n">
        <x:v>2</x:v>
      </x:c>
      <x:c r="K11" s="7" t="n">
        <x:v>2</x:v>
      </x:c>
      <x:c r="L11" s="7" t="n">
        <x:v>2</x:v>
      </x:c>
      <x:c r="M11" s="7" t="n">
        <x:v>4</x:v>
      </x:c>
      <x:c r="N11" s="7" t="n">
        <x:v>1</x:v>
      </x:c>
      <x:c r="O11" s="7" t="n">
        <x:v>1</x:v>
      </x:c>
      <x:c r="P11" s="7" t="n"/>
      <x:c r="Q11" s="7" t="n">
        <x:v>7</x:v>
      </x:c>
      <x:c r="R11" s="7" t="n">
        <x:v>2</x:v>
      </x:c>
      <x:c r="S11" s="7" t="n">
        <x:v>2</x:v>
      </x:c>
      <x:c r="T11" s="7" t="n">
        <x:v>4</x:v>
      </x:c>
      <x:c r="U11" s="7" t="n">
        <x:v>1</x:v>
      </x:c>
      <x:c r="V11" s="7" t="n"/>
      <x:c r="W11" s="7" t="n">
        <x:v>6</x:v>
      </x:c>
      <x:c r="X11" s="7" t="n">
        <x:v>3</x:v>
      </x:c>
      <x:c r="Y11" s="7" t="n">
        <x:v>2</x:v>
      </x:c>
      <x:c r="Z11" s="7" t="n">
        <x:v>2</x:v>
      </x:c>
      <x:c r="AA11" s="7" t="inlineStr">
        <x:is>
          <x:t xml:space="preserve">B</x:t>
        </x:is>
      </x:c>
      <x:c r="AB11" s="7" t="n">
        <x:v>0.7</x:v>
      </x:c>
      <x:c r="AC11" s="7" t="n">
        <x:v>5</x:v>
      </x:c>
      <x:c r="AD11" s="7" t="n">
        <x:v>4</x:v>
      </x:c>
      <x:c r="AE11" s="7" t="n">
        <x:v>3</x:v>
      </x:c>
      <x:c r="AF11" s="7" t="n">
        <x:v>2</x:v>
      </x:c>
      <x:c r="AG11" s="7" t="inlineStr">
        <x:is>
          <x:t xml:space="preserve">C</x:t>
        </x:is>
      </x:c>
      <x:c r="AH11" s="7" t="n">
        <x:v>0.7</x:v>
      </x:c>
      <x:c r="AI11" s="7" t="n">
        <x:v>5</x:v>
      </x:c>
      <x:c r="AJ11" s="7" t="n">
        <x:v>6</x:v>
      </x:c>
      <x:c r="AK11" s="7" t="n">
        <x:v>5</x:v>
      </x:c>
      <x:c r="AL11" s="7" t="n">
        <x:v>2</x:v>
      </x:c>
      <x:c r="AM11" s="7" t="inlineStr">
        <x:is>
          <x:t xml:space="preserve">T</x:t>
        </x:is>
      </x:c>
      <x:c r="AN11" s="7" t="n">
        <x:v>0.7</x:v>
      </x:c>
      <x:c r="AO11" s="7" t="n">
        <x:v>6</x:v>
      </x:c>
      <x:c r="AP11" s="7" t="n">
        <x:v>2</x:v>
      </x:c>
      <x:c r="AQ11" s="7" t="n">
        <x:v>3</x:v>
      </x:c>
      <x:c r="AR11" s="7" t="n">
        <x:v>2</x:v>
      </x:c>
      <x:c r="AS11" s="7" t="n">
        <x:v>3</x:v>
      </x:c>
      <x:c r="AT11" s="7" t="n">
        <x:v>4</x:v>
      </x:c>
      <x:c r="AU11" s="7" t="n">
        <x:v>4</x:v>
      </x:c>
      <x:c r="AV11" s="7" t="n">
        <x:v>2</x:v>
      </x:c>
      <x:c r="AW11" s="7" t="n">
        <x:v>4</x:v>
      </x:c>
      <x:c r="AX11" s="7" t="n">
        <x:v>2</x:v>
      </x:c>
      <x:c r="AY11" s="7" t="n">
        <x:v>4</x:v>
      </x:c>
      <x:c r="AZ11" s="7" t="n">
        <x:v>1</x:v>
      </x:c>
      <x:c r="BA11" s="7" t="n">
        <x:v>4</x:v>
      </x:c>
      <x:c r="BB11" s="7" t="n">
        <x:v>1</x:v>
      </x:c>
      <x:c r="BC11" s="7" t="n">
        <x:v>4</x:v>
      </x:c>
      <x:c r="BD11" s="7" t="n">
        <x:v>2</x:v>
      </x:c>
      <x:c r="BE11" s="7" t="n"/>
      <x:c r="BF11" s="7" t="inlineStr">
        <x:is>
          <x:t xml:space="preserve"/>
        </x:is>
      </x:c>
    </x:row>
    <x:row r="12">
      <x:c r="A12" s="5" t="inlineStr">
        <x:is>
          <x:t xml:space="preserve">P10</x:t>
        </x:is>
      </x:c>
      <x:c r="B12" s="5" t="inlineStr">
        <x:is>
          <x:t xml:space="preserve">Y</x:t>
        </x:is>
      </x:c>
      <x:c r="C12" s="7" t="n">
        <x:v>3</x:v>
      </x:c>
      <x:c r="D12" s="7" t="n">
        <x:v>4</x:v>
      </x:c>
      <x:c r="E12" s="7" t="n">
        <x:v>3</x:v>
      </x:c>
      <x:c r="F12" s="7" t="n">
        <x:v>3</x:v>
      </x:c>
      <x:c r="G12" s="7" t="n">
        <x:v>2</x:v>
      </x:c>
      <x:c r="H12" s="7" t="n">
        <x:v>1</x:v>
      </x:c>
      <x:c r="I12" s="7" t="n">
        <x:v>2</x:v>
      </x:c>
      <x:c r="J12" s="7" t="n">
        <x:v>2</x:v>
      </x:c>
      <x:c r="K12" s="7" t="n">
        <x:v>2</x:v>
      </x:c>
      <x:c r="L12" s="7" t="n">
        <x:v>4</x:v>
      </x:c>
      <x:c r="M12" s="7" t="n">
        <x:v>2</x:v>
      </x:c>
      <x:c r="N12" s="7" t="n">
        <x:v>2</x:v>
      </x:c>
      <x:c r="O12" s="7" t="inlineStr">
        <x:is>
          <x:t xml:space="preserve">B</x:t>
        </x:is>
      </x:c>
      <x:c r="P12" s="7" t="n">
        <x:v>0.7</x:v>
      </x:c>
      <x:c r="Q12" s="7" t="n">
        <x:v>5</x:v>
      </x:c>
      <x:c r="R12" s="7" t="n">
        <x:v>5</x:v>
      </x:c>
      <x:c r="S12" s="7" t="n">
        <x:v>3</x:v>
      </x:c>
      <x:c r="T12" s="7" t="n">
        <x:v>2</x:v>
      </x:c>
      <x:c r="U12" s="7" t="inlineStr">
        <x:is>
          <x:t xml:space="preserve">C</x:t>
        </x:is>
      </x:c>
      <x:c r="V12" s="7" t="n">
        <x:v>0.7</x:v>
      </x:c>
      <x:c r="W12" s="7" t="n">
        <x:v>7</x:v>
      </x:c>
      <x:c r="X12" s="7" t="n">
        <x:v>2</x:v>
      </x:c>
      <x:c r="Y12" s="7" t="n">
        <x:v>3</x:v>
      </x:c>
      <x:c r="Z12" s="7" t="n">
        <x:v>1</x:v>
      </x:c>
      <x:c r="AA12" s="7" t="n">
        <x:v>2</x:v>
      </x:c>
      <x:c r="AB12" s="7" t="n"/>
      <x:c r="AC12" s="7" t="n">
        <x:v>4</x:v>
      </x:c>
      <x:c r="AD12" s="7" t="n">
        <x:v>2</x:v>
      </x:c>
      <x:c r="AE12" s="7" t="n">
        <x:v>4</x:v>
      </x:c>
      <x:c r="AF12" s="7" t="n">
        <x:v>4</x:v>
      </x:c>
      <x:c r="AG12" s="7" t="n">
        <x:v>2</x:v>
      </x:c>
      <x:c r="AH12" s="7" t="n"/>
      <x:c r="AI12" s="7" t="n">
        <x:v>5</x:v>
      </x:c>
      <x:c r="AJ12" s="7" t="n">
        <x:v>6</x:v>
      </x:c>
      <x:c r="AK12" s="7" t="n">
        <x:v>3</x:v>
      </x:c>
      <x:c r="AL12" s="7" t="n">
        <x:v>2</x:v>
      </x:c>
      <x:c r="AM12" s="7" t="inlineStr">
        <x:is>
          <x:t xml:space="preserve">R</x:t>
        </x:is>
      </x:c>
      <x:c r="AN12" s="7" t="n">
        <x:v>0.7</x:v>
      </x:c>
      <x:c r="AO12" s="7" t="n">
        <x:v>5</x:v>
      </x:c>
      <x:c r="AP12" s="7" t="n">
        <x:v>2</x:v>
      </x:c>
      <x:c r="AQ12" s="7" t="n">
        <x:v>3</x:v>
      </x:c>
      <x:c r="AR12" s="7" t="n">
        <x:v>2</x:v>
      </x:c>
      <x:c r="AS12" s="7" t="n">
        <x:v>3</x:v>
      </x:c>
      <x:c r="AT12" s="7" t="n">
        <x:v>4</x:v>
      </x:c>
      <x:c r="AU12" s="7" t="n">
        <x:v>4</x:v>
      </x:c>
      <x:c r="AV12" s="7" t="n">
        <x:v>2</x:v>
      </x:c>
      <x:c r="AW12" s="7" t="n">
        <x:v>4</x:v>
      </x:c>
      <x:c r="AX12" s="7" t="n">
        <x:v>2</x:v>
      </x:c>
      <x:c r="AY12" s="7" t="n">
        <x:v>4</x:v>
      </x:c>
      <x:c r="AZ12" s="7" t="n">
        <x:v>1</x:v>
      </x:c>
      <x:c r="BA12" s="7" t="n">
        <x:v>4</x:v>
      </x:c>
      <x:c r="BB12" s="7" t="n">
        <x:v>1</x:v>
      </x:c>
      <x:c r="BC12" s="7" t="n">
        <x:v>4</x:v>
      </x:c>
      <x:c r="BD12" s="7" t="n">
        <x:v>2</x:v>
      </x:c>
      <x:c r="BE12" s="7" t="n"/>
      <x:c r="BF12" s="7" t="inlineStr">
        <x:is>
          <x:t xml:space="preserve"/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10" customWidth="1"/>
    <x:col min="2" max="2" width="9" customWidth="1"/>
    <x:col min="3" max="3" width="11" customWidth="1"/>
    <x:col min="4" max="4" width="11" customWidth="1"/>
    <x:col min="5" max="5" width="11" customWidth="1"/>
    <x:col min="6" max="6" width="11" customWidth="1"/>
    <x:col min="7" max="7" width="11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1" customWidth="1"/>
    <x:col min="13" max="13" width="11" customWidth="1"/>
    <x:col min="14" max="14" width="11" customWidth="1"/>
    <x:col min="15" max="15" width="11" customWidth="1"/>
    <x:col min="16" max="16" width="11" customWidth="1"/>
    <x:col min="17" max="17" width="11" customWidth="1"/>
    <x:col min="18" max="18" width="11" customWidth="1"/>
    <x:col min="19" max="19" width="11" customWidth="1"/>
    <x:col min="20" max="20" width="11" customWidth="1"/>
    <x:col min="21" max="21" width="11" customWidth="1"/>
    <x:col min="22" max="22" width="11" customWidth="1"/>
    <x:col min="23" max="23" width="11" customWidth="1"/>
    <x:col min="24" max="24" width="11" customWidth="1"/>
    <x:col min="25" max="25" width="11" customWidth="1"/>
    <x:col min="26" max="26" width="11" customWidth="1"/>
    <x:col min="27" max="27" width="11" customWidth="1"/>
    <x:col min="28" max="28" width="11" customWidth="1"/>
    <x:col min="29" max="29" width="11" customWidth="1"/>
    <x:col min="30" max="30" width="11" customWidth="1"/>
    <x:col min="31" max="31" width="11" customWidth="1"/>
    <x:col min="32" max="32" width="11" customWidth="1"/>
    <x:col min="33" max="33" width="11" customWidth="1"/>
    <x:col min="34" max="34" width="11" customWidth="1"/>
    <x:col min="35" max="35" width="11" customWidth="1"/>
    <x:col min="36" max="36" width="11" customWidth="1"/>
    <x:col min="37" max="37" width="11" customWidth="1"/>
    <x:col min="38" max="38" width="11" customWidth="1"/>
    <x:col min="39" max="39" width="11" customWidth="1"/>
    <x:col min="40" max="40" width="11" customWidth="1"/>
    <x:col min="41" max="41" width="11" customWidth="1"/>
    <x:col min="42" max="42" width="11" customWidth="1"/>
    <x:col min="43" max="43" width="11" customWidth="1"/>
    <x:col min="44" max="44" width="11" customWidth="1"/>
    <x:col min="45" max="45" width="11" customWidth="1"/>
    <x:col min="46" max="46" width="11" customWidth="1"/>
    <x:col min="47" max="47" width="11" customWidth="1"/>
    <x:col min="48" max="48" width="11" customWidth="1"/>
    <x:col min="49" max="49" width="11" customWidth="1"/>
    <x:col min="50" max="50" width="11" customWidth="1"/>
    <x:col min="51" max="51" width="11" customWidth="1"/>
    <x:col min="52" max="52" width="11" customWidth="1"/>
    <x:col min="53" max="53" width="11" customWidth="1"/>
    <x:col min="54" max="54" width="11" customWidth="1"/>
    <x:col min="55" max="55" width="11" customWidth="1"/>
    <x:col min="56" max="56" width="11" customWidth="1"/>
    <x:col min="57" max="57" width="11" customWidth="1"/>
    <x:col min="58" max="58" width="11" customWidth="1"/>
    <x:col min="59" max="59" width="11" customWidth="1"/>
    <x:col min="60" max="60" width="11" customWidth="1"/>
  </x:cols>
  <x:sheetData>
    <x:row r="1">
      <x:c r="A1" s="3" t="inlineStr">
        <x:is>
          <x:t xml:space="preserve">Code</x:t>
        </x:is>
      </x:c>
      <x:c r="B1" s="3" t="inlineStr">
        <x:is>
          <x:t xml:space="preserve">Form</x:t>
        </x:is>
      </x:c>
      <x:c r="C1" s="3" t="inlineStr">
        <x:is>
          <x:t xml:space="preserve">Token total</x:t>
        </x:is>
      </x:c>
      <x:c r="D1" s="3" t="inlineStr">
        <x:is>
          <x:t xml:space="preserve">Flag tokens</x:t>
        </x:is>
      </x:c>
      <x:c r="E1" s="3" t="inlineStr">
        <x:is>
          <x:t xml:space="preserve">Max deviation from profile</x:t>
        </x:is>
      </x:c>
      <x:c r="F1" s="3" t="inlineStr">
        <x:is>
          <x:t xml:space="preserve">Flag profile</x:t>
        </x:is>
      </x:c>
      <x:c r="G1" s="3" t="inlineStr">
        <x:is>
          <x:t xml:space="preserve">Quiz correct</x:t>
        </x:is>
      </x:c>
      <x:c r="H1" s="3" t="inlineStr">
        <x:is>
          <x:t xml:space="preserve">Flag quiz</x:t>
        </x:is>
      </x:c>
      <x:c r="I1" s="3" t="inlineStr">
        <x:is>
          <x:t xml:space="preserve">C1 format</x:t>
        </x:is>
      </x:c>
      <x:c r="J1" s="3" t="inlineStr">
        <x:is>
          <x:t xml:space="preserve">C1 reading correct</x:t>
        </x:is>
      </x:c>
      <x:c r="K1" s="3" t="inlineStr">
        <x:is>
          <x:t xml:space="preserve">C1 flag reading</x:t>
        </x:is>
      </x:c>
      <x:c r="L1" s="3" t="inlineStr">
        <x:is>
          <x:t xml:space="preserve">C1 regret of choice</x:t>
        </x:is>
      </x:c>
      <x:c r="M1" s="3" t="inlineStr">
        <x:is>
          <x:t xml:space="preserve">C1 regret of N</x:t>
        </x:is>
      </x:c>
      <x:c r="N1" s="3" t="inlineStr">
        <x:is>
          <x:t xml:space="preserve">C1 flag choice</x:t>
        </x:is>
      </x:c>
      <x:c r="O1" s="3" t="inlineStr">
        <x:is>
          <x:t xml:space="preserve">C1 flag selector</x:t>
        </x:is>
      </x:c>
      <x:c r="P1" s="3" t="inlineStr">
        <x:is>
          <x:t xml:space="preserve">C1 flag single recommendation</x:t>
        </x:is>
      </x:c>
      <x:c r="Q1" s="3" t="inlineStr">
        <x:is>
          <x:t xml:space="preserve">C2 format</x:t>
        </x:is>
      </x:c>
      <x:c r="R1" s="3" t="inlineStr">
        <x:is>
          <x:t xml:space="preserve">C2 reading correct</x:t>
        </x:is>
      </x:c>
      <x:c r="S1" s="3" t="inlineStr">
        <x:is>
          <x:t xml:space="preserve">C2 flag reading</x:t>
        </x:is>
      </x:c>
      <x:c r="T1" s="3" t="inlineStr">
        <x:is>
          <x:t xml:space="preserve">C2 regret of choice</x:t>
        </x:is>
      </x:c>
      <x:c r="U1" s="3" t="inlineStr">
        <x:is>
          <x:t xml:space="preserve">C2 regret of N</x:t>
        </x:is>
      </x:c>
      <x:c r="V1" s="3" t="inlineStr">
        <x:is>
          <x:t xml:space="preserve">C2 flag choice</x:t>
        </x:is>
      </x:c>
      <x:c r="W1" s="3" t="inlineStr">
        <x:is>
          <x:t xml:space="preserve">C2 flag selector</x:t>
        </x:is>
      </x:c>
      <x:c r="X1" s="3" t="inlineStr">
        <x:is>
          <x:t xml:space="preserve">C2 flag single recommendation</x:t>
        </x:is>
      </x:c>
      <x:c r="Y1" s="3" t="inlineStr">
        <x:is>
          <x:t xml:space="preserve">C3 format</x:t>
        </x:is>
      </x:c>
      <x:c r="Z1" s="3" t="inlineStr">
        <x:is>
          <x:t xml:space="preserve">C3 reading correct</x:t>
        </x:is>
      </x:c>
      <x:c r="AA1" s="3" t="inlineStr">
        <x:is>
          <x:t xml:space="preserve">C3 flag reading</x:t>
        </x:is>
      </x:c>
      <x:c r="AB1" s="3" t="inlineStr">
        <x:is>
          <x:t xml:space="preserve">C3 regret of choice</x:t>
        </x:is>
      </x:c>
      <x:c r="AC1" s="3" t="inlineStr">
        <x:is>
          <x:t xml:space="preserve">C3 regret of N</x:t>
        </x:is>
      </x:c>
      <x:c r="AD1" s="3" t="inlineStr">
        <x:is>
          <x:t xml:space="preserve">C3 flag choice</x:t>
        </x:is>
      </x:c>
      <x:c r="AE1" s="3" t="inlineStr">
        <x:is>
          <x:t xml:space="preserve">C3 flag selector</x:t>
        </x:is>
      </x:c>
      <x:c r="AF1" s="3" t="inlineStr">
        <x:is>
          <x:t xml:space="preserve">C3 flag single recommendation</x:t>
        </x:is>
      </x:c>
      <x:c r="AG1" s="3" t="inlineStr">
        <x:is>
          <x:t xml:space="preserve">C4 format</x:t>
        </x:is>
      </x:c>
      <x:c r="AH1" s="3" t="inlineStr">
        <x:is>
          <x:t xml:space="preserve">C4 reading correct</x:t>
        </x:is>
      </x:c>
      <x:c r="AI1" s="3" t="inlineStr">
        <x:is>
          <x:t xml:space="preserve">C4 flag reading</x:t>
        </x:is>
      </x:c>
      <x:c r="AJ1" s="3" t="inlineStr">
        <x:is>
          <x:t xml:space="preserve">C4 regret of choice</x:t>
        </x:is>
      </x:c>
      <x:c r="AK1" s="3" t="inlineStr">
        <x:is>
          <x:t xml:space="preserve">C4 regret of N</x:t>
        </x:is>
      </x:c>
      <x:c r="AL1" s="3" t="inlineStr">
        <x:is>
          <x:t xml:space="preserve">C4 flag choice</x:t>
        </x:is>
      </x:c>
      <x:c r="AM1" s="3" t="inlineStr">
        <x:is>
          <x:t xml:space="preserve">C4 flag selector</x:t>
        </x:is>
      </x:c>
      <x:c r="AN1" s="3" t="inlineStr">
        <x:is>
          <x:t xml:space="preserve">C4 flag single recommendation</x:t>
        </x:is>
      </x:c>
      <x:c r="AO1" s="3" t="inlineStr">
        <x:is>
          <x:t xml:space="preserve">C5 format</x:t>
        </x:is>
      </x:c>
      <x:c r="AP1" s="3" t="inlineStr">
        <x:is>
          <x:t xml:space="preserve">C5 reading correct</x:t>
        </x:is>
      </x:c>
      <x:c r="AQ1" s="3" t="inlineStr">
        <x:is>
          <x:t xml:space="preserve">C5 flag reading</x:t>
        </x:is>
      </x:c>
      <x:c r="AR1" s="3" t="inlineStr">
        <x:is>
          <x:t xml:space="preserve">C5 regret of choice</x:t>
        </x:is>
      </x:c>
      <x:c r="AS1" s="3" t="inlineStr">
        <x:is>
          <x:t xml:space="preserve">C5 regret of N</x:t>
        </x:is>
      </x:c>
      <x:c r="AT1" s="3" t="inlineStr">
        <x:is>
          <x:t xml:space="preserve">C5 flag choice</x:t>
        </x:is>
      </x:c>
      <x:c r="AU1" s="3" t="inlineStr">
        <x:is>
          <x:t xml:space="preserve">C5 flag selector</x:t>
        </x:is>
      </x:c>
      <x:c r="AV1" s="3" t="inlineStr">
        <x:is>
          <x:t xml:space="preserve">C5 flag single recommendation</x:t>
        </x:is>
      </x:c>
      <x:c r="AW1" s="3" t="inlineStr">
        <x:is>
          <x:t xml:space="preserve">Flag total time</x:t>
        </x:is>
      </x:c>
      <x:c r="AX1" s="3" t="inlineStr">
        <x:is>
          <x:t xml:space="preserve">Repetition: regret difference</x:t>
        </x:is>
      </x:c>
      <x:c r="AY1" s="3" t="inlineStr">
        <x:is>
          <x:t xml:space="preserve">Flag repetition</x:t>
        </x:is>
      </x:c>
      <x:c r="AZ1" s="3" t="inlineStr">
        <x:is>
          <x:t xml:space="preserve">Vignettes correct</x:t>
        </x:is>
      </x:c>
      <x:c r="BA1" s="3" t="inlineStr">
        <x:is>
          <x:t xml:space="preserve">Flag vignettes</x:t>
        </x:is>
      </x:c>
      <x:c r="BB1" s="3" t="inlineStr">
        <x:is>
          <x:t xml:space="preserve">Flag attention G4</x:t>
        </x:is>
      </x:c>
      <x:c r="BC1" s="3" t="inlineStr">
        <x:is>
          <x:t xml:space="preserve">SUS</x:t>
        </x:is>
      </x:c>
      <x:c r="BD1" s="3" t="inlineStr">
        <x:is>
          <x:t xml:space="preserve">Flag SUS</x:t>
        </x:is>
      </x:c>
      <x:c r="BE1" s="3" t="inlineStr">
        <x:is>
          <x:t xml:space="preserve">Mean confidence B</x:t>
        </x:is>
      </x:c>
      <x:c r="BF1" s="3" t="inlineStr">
        <x:is>
          <x:t xml:space="preserve">Mean confidence A</x:t>
        </x:is>
      </x:c>
      <x:c r="BG1" s="3" t="inlineStr">
        <x:is>
          <x:t xml:space="preserve">Flag confidence</x:t>
        </x:is>
      </x:c>
      <x:c r="BH1" s="3" t="inlineStr">
        <x:is>
          <x:t xml:space="preserve">Number of X flags</x:t>
        </x:is>
      </x:c>
    </x:row>
    <x:row r="2">
      <x:c r="A2" s="4" t="str">
        <x:f>Responses!$A$3</x:f>
        <x:v>P01</x:v>
      </x:c>
      <x:c r="B2" s="4" t="str">
        <x:f>Responses!$B$3</x:f>
        <x:v>X</x:v>
      </x:c>
      <x:c r="C2" s="4" t="n">
        <x:f>SUM(Responses!$C$3,Responses!$D$3,Responses!$E$3)</x:f>
        <x:v>10</x:v>
      </x:c>
      <x:c r="D2" s="4" t="str">
        <x:f>IF(C2=0,"",IF(C2&lt;&gt;10,"X","Y"))</x:f>
        <x:v>Y</x:v>
      </x:c>
      <x:c r="E2" s="4" t="n">
        <x:f>IF(OR(Responses!$F$3="",Responses!$F$3&gt;6),"",MAX(ABS(Responses!$C$3-INDEX(Profiles!$C$2:$C$7,Responses!$F$3)),ABS(Responses!$D$3-INDEX(Profiles!$D$2:$D$7,Responses!$F$3)),ABS(Responses!$E$3-INDEX(Profiles!$E$2:$E$7,Responses!$F$3))))</x:f>
        <x:v>0</x:v>
      </x:c>
      <x:c r="F2" s="4" t="str">
        <x:f>IF(E2="","",IF(E2&gt;=4,"X",IF(E2&lt;=2,"Y","–")))</x:f>
      </x:c>
      <x:c r="G2" s="4" t="n">
        <x:f>(Responses!$G$3=2)*1+(Responses!$H$3=1)*1+(Responses!$I$3=2)*1+(Responses!$J$3=2)*1+(Responses!$K$3=2)*1</x:f>
        <x:v>5</x:v>
      </x:c>
      <x:c r="H2" s="4" t="str">
        <x:f>IF(Responses!$G$3="","",IF(G2&lt;=3,"X",IF(G2=5,"Y","–")))</x:f>
        <x:v>Y</x:v>
      </x:c>
      <x:c r="I2" s="4" t="str">
        <x:f>INDEX(Sequence!$D$2:$D$11,MATCH(1,INDEX((Sequence!$A$2:$A$11=$B$2)*(Sequence!$B$2:$B$11=1),0),0))</x:f>
        <x:v>A</x:v>
      </x:c>
      <x:c r="J2" s="4" t="n">
        <x:f>(Responses!$L$3=SUMIFS(Sequence!$E:$E,Sequence!$A:$A,$B$2,Sequence!$B:$B,1))*1+(Responses!$M$3=SUMIFS(Sequence!$F:$F,Sequence!$A:$A,$B$2,Sequence!$B:$B,1))*1+(Responses!$N$3=SUMIFS(Sequence!$G:$G,Sequence!$A:$A,$B$2,Sequence!$B:$B,1))*1</x:f>
        <x:v>2</x:v>
      </x:c>
      <x:c r="K2" s="4" t="str">
        <x:f>IF(Responses!$L$3="","",IF(J2&lt;=1,"X",IF(J2=3,"Y","–")))</x:f>
        <x:v>–</x:v>
      </x:c>
      <x:c r="L2" s="4" t="str">
        <x:f>IF(OR(I2="A",Responses!$O$3=""),"",ROUND(_xlfn.MAXIFS(Data!$J$2:$J$26,Data!$B$2:$B$26,SUMIFS(Sequence!$C:$C,Sequence!$A:$A,$B$2,Sequence!$B:$B,1),Data!$H$2:$H$26,1)-SUMIFS(Data!$J$2:$J$26,Data!$A$2:$A$26,SUMIFS(Sequence!$C:$C,Sequence!$A:$A,$B$2,Sequence!$B:$B,1)&amp;"|"&amp;IF(I2="R",INDEX(Repetition!$D$2:$D$20,MATCH($B$2&amp;"|"&amp;Responses!$O$3,Repetition!$A$2:$A$20,0)),Responses!$O$3)),3))</x:f>
      </x:c>
      <x:c r="M2" s="4" t="str">
        <x:f>IF(I2="A","",ROUND(_xlfn.MAXIFS(Data!$J$2:$J$26,Data!$B$2:$B$26,SUMIFS(Sequence!$C:$C,Sequence!$A:$A,$B$2,Sequence!$B:$B,1),Data!$H$2:$H$26,1)-SUMIFS(Data!$J$2:$J$26,Data!$A$2:$A$26,SUMIFS(Sequence!$C:$C,Sequence!$A:$A,$B$2,Sequence!$B:$B,1)&amp;"|"&amp;"N"),3))</x:f>
      </x:c>
      <x:c r="N2" s="4" t="str">
        <x:f>IF(L2="","",IF(OR(L2&gt;=0.5,AND(M2&gt;0.1,L2&gt;=M2)),"X",IF(L2&lt;=0.1,"Y","–")))</x:f>
      </x:c>
      <x:c r="O2" s="4" t="str">
        <x:f>IF(OR(I2="A",Responses!$P$3="",Responses!$P$3=0),"",IF(_xlfn.MAXIFS(Data!$J$2:$J$26,Data!$B$2:$B$26,SUMIFS(Sequence!$C:$C,Sequence!$A:$A,$B$2,Sequence!$B:$B,1),Data!$I$2:$I$26,1)-SUMIFS(Data!$J$2:$J$26,Data!$A$2:$A$26,SUMIFS(Sequence!$C:$C,Sequence!$A:$A,$B$2,Sequence!$B:$B,1)&amp;"|"&amp;INDEX(Selector!$D$2:$D$37,MATCH(SUMIFS(Sequence!$C:$C,Sequence!$A:$A,$B$2,Sequence!$B:$B,1)*100+ROUND(Responses!$P$3*10,0),Selector!$A$2:$A$37,0)))&gt;=0.3,"X",IF(_xlfn.MAXIFS(Data!$J$2:$J$26,Data!$B$2:$B$26,SUMIFS(Sequence!$C:$C,Sequence!$A:$A,$B$2,Sequence!$B:$B,1),Data!$I$2:$I$26,1)-SUMIFS(Data!$J$2:$J$26,Data!$A$2:$A$26,SUMIFS(Sequence!$C:$C,Sequence!$A:$A,$B$2,Sequence!$B:$B,1)&amp;"|"&amp;INDEX(Selector!$D$2:$D$37,MATCH(SUMIFS(Sequence!$C:$C,Sequence!$A:$A,$B$2,Sequence!$B:$B,1)*100+ROUND(Responses!$P$3*10,0),Selector!$A$2:$A$37,0)))&lt;=0.05,"Y","–")))</x:f>
      </x:c>
      <x:c r="P2" s="4" t="str">
        <x:f>IF(OR(I2&lt;&gt;"A",Responses!$O$3=""),"",IF(AND(Responses!$O$3=1,Responses!$Q$3&gt;=6,Responses!$D$3+Responses!$E$3&gt;=6),"X",IF(OR(AND(Responses!$O$3&gt;=2,Responses!$D$3+Responses!$E$3&gt;=6),AND(Responses!$O$3=1,Responses!$C$3&gt;=7)),"Y","–")))</x:f>
        <x:v>Y</x:v>
      </x:c>
      <x:c r="Q2" s="4" t="e">
        <x:f>INDEX(Sequence!$D$2:$D$11,MATCH(1,INDEX((Sequence!$A$2:$A$11=$B$2)*(Sequence!$B$2:$B$11=2),0),0))</x:f>
        <x:v>#N/A</x:v>
      </x:c>
      <x:c r="R2" s="4" t="n">
        <x:f>(Responses!$R$3=SUMIFS(Sequence!$E:$E,Sequence!$A:$A,$B$2,Sequence!$B:$B,2))*1+(Responses!$S$3=SUMIFS(Sequence!$F:$F,Sequence!$A:$A,$B$2,Sequence!$B:$B,2))*1+(Responses!$T$3=SUMIFS(Sequence!$G:$G,Sequence!$A:$A,$B$2,Sequence!$B:$B,2))*1</x:f>
        <x:v>2</x:v>
      </x:c>
      <x:c r="S2" s="4" t="str">
        <x:f>IF(Responses!$R$3="","",IF(R2&lt;=1,"X",IF(R2=3,"Y","–")))</x:f>
        <x:v>–</x:v>
      </x:c>
      <x:c r="T2" s="4" t="e">
        <x:f>IF(OR(Q2="A",Responses!$U$3=""),"",ROUND(_xlfn.MAXIFS(Data!$J$2:$J$26,Data!$B$2:$B$26,SUMIFS(Sequence!$C:$C,Sequence!$A:$A,$B$2,Sequence!$B:$B,2),Data!$H$2:$H$26,1)-SUMIFS(Data!$J$2:$J$26,Data!$A$2:$A$26,SUMIFS(Sequence!$C:$C,Sequence!$A:$A,$B$2,Sequence!$B:$B,2)&amp;"|"&amp;IF(Q2="R",INDEX(Repetition!$D$2:$D$20,MATCH($B$2&amp;"|"&amp;Responses!$U$3,Repetition!$A$2:$A$20,0)),Responses!$U$3)),3))</x:f>
        <x:v>#N/A</x:v>
      </x:c>
      <x:c r="U2" s="4" t="e">
        <x:f>IF(Q2="A","",ROUND(_xlfn.MAXIFS(Data!$J$2:$J$26,Data!$B$2:$B$26,SUMIFS(Sequence!$C:$C,Sequence!$A:$A,$B$2,Sequence!$B:$B,2),Data!$H$2:$H$26,1)-SUMIFS(Data!$J$2:$J$26,Data!$A$2:$A$26,SUMIFS(Sequence!$C:$C,Sequence!$A:$A,$B$2,Sequence!$B:$B,2)&amp;"|"&amp;"N"),3))</x:f>
        <x:v>#N/A</x:v>
      </x:c>
      <x:c r="V2" s="4" t="e">
        <x:f>IF(T2="","",IF(OR(T2&gt;=0.5,AND(U2&gt;0.1,T2&gt;=U2)),"X",IF(T2&lt;=0.1,"Y","–")))</x:f>
        <x:v>#N/A</x:v>
      </x:c>
      <x:c r="W2" s="4" t="e">
        <x:f>IF(OR(Q2="A",Responses!$V$3="",Responses!$V$3=0),"",IF(_xlfn.MAXIFS(Data!$J$2:$J$26,Data!$B$2:$B$26,SUMIFS(Sequence!$C:$C,Sequence!$A:$A,$B$2,Sequence!$B:$B,2),Data!$I$2:$I$26,1)-SUMIFS(Data!$J$2:$J$26,Data!$A$2:$A$26,SUMIFS(Sequence!$C:$C,Sequence!$A:$A,$B$2,Sequence!$B:$B,2)&amp;"|"&amp;INDEX(Selector!$D$2:$D$37,MATCH(SUMIFS(Sequence!$C:$C,Sequence!$A:$A,$B$2,Sequence!$B:$B,2)*100+ROUND(Responses!$V$3*10,0),Selector!$A$2:$A$37,0)))&gt;=0.3,"X",IF(_xlfn.MAXIFS(Data!$J$2:$J$26,Data!$B$2:$B$26,SUMIFS(Sequence!$C:$C,Sequence!$A:$A,$B$2,Sequence!$B:$B,2),Data!$I$2:$I$26,1)-SUMIFS(Data!$J$2:$J$26,Data!$A$2:$A$26,SUMIFS(Sequence!$C:$C,Sequence!$A:$A,$B$2,Sequence!$B:$B,2)&amp;"|"&amp;INDEX(Selector!$D$2:$D$37,MATCH(SUMIFS(Sequence!$C:$C,Sequence!$A:$A,$B$2,Sequence!$B:$B,2)*100+ROUND(Responses!$V$3*10,0),Selector!$A$2:$A$37,0)))&lt;=0.05,"Y","–")))</x:f>
        <x:v>#N/A</x:v>
      </x:c>
      <x:c r="X2" s="4" t="e">
        <x:f>IF(OR(Q2&lt;&gt;"A",Responses!$U$3=""),"",IF(AND(Responses!$U$3=1,Responses!$W$3&gt;=6,Responses!$D$3+Responses!$E$3&gt;=6),"X",IF(OR(AND(Responses!$U$3&gt;=2,Responses!$D$3+Responses!$E$3&gt;=6),AND(Responses!$U$3=1,Responses!$C$3&gt;=7)),"Y","–")))</x:f>
        <x:v>#N/A</x:v>
      </x:c>
      <x:c r="Y2" s="4" t="e">
        <x:f>INDEX(Sequence!$D$2:$D$11,MATCH(1,INDEX((Sequence!$A$2:$A$11=$B$2)*(Sequence!$B$2:$B$11=3),0),0))</x:f>
        <x:v>#N/A</x:v>
      </x:c>
      <x:c r="Z2" s="4" t="n">
        <x:f>(Responses!$X$3=SUMIFS(Sequence!$E:$E,Sequence!$A:$A,$B$2,Sequence!$B:$B,3))*1+(Responses!$Y$3=SUMIFS(Sequence!$F:$F,Sequence!$A:$A,$B$2,Sequence!$B:$B,3))*1+(Responses!$Z$3=SUMIFS(Sequence!$G:$G,Sequence!$A:$A,$B$2,Sequence!$B:$B,3))*1</x:f>
        <x:v>3</x:v>
      </x:c>
      <x:c r="AA2" s="4" t="str">
        <x:f>IF(Responses!$X$3="","",IF(Z2&lt;=1,"X",IF(Z2=3,"Y","–")))</x:f>
        <x:v>Y</x:v>
      </x:c>
      <x:c r="AB2" s="4" t="e">
        <x:f>IF(OR(Y2="A",Responses!$AA$3=""),"",ROUND(_xlfn.MAXIFS(Data!$J$2:$J$26,Data!$B$2:$B$26,SUMIFS(Sequence!$C:$C,Sequence!$A:$A,$B$2,Sequence!$B:$B,3),Data!$H$2:$H$26,1)-SUMIFS(Data!$J$2:$J$26,Data!$A$2:$A$26,SUMIFS(Sequence!$C:$C,Sequence!$A:$A,$B$2,Sequence!$B:$B,3)&amp;"|"&amp;IF(Y2="R",INDEX(Repetition!$D$2:$D$20,MATCH($B$2&amp;"|"&amp;Responses!$AA$3,Repetition!$A$2:$A$20,0)),Responses!$AA$3)),3))</x:f>
        <x:v>#N/A</x:v>
      </x:c>
      <x:c r="AC2" s="4" t="e">
        <x:f>IF(Y2="A","",ROUND(_xlfn.MAXIFS(Data!$J$2:$J$26,Data!$B$2:$B$26,SUMIFS(Sequence!$C:$C,Sequence!$A:$A,$B$2,Sequence!$B:$B,3),Data!$H$2:$H$26,1)-SUMIFS(Data!$J$2:$J$26,Data!$A$2:$A$26,SUMIFS(Sequence!$C:$C,Sequence!$A:$A,$B$2,Sequence!$B:$B,3)&amp;"|"&amp;"N"),3))</x:f>
        <x:v>#N/A</x:v>
      </x:c>
      <x:c r="AD2" s="4" t="e">
        <x:f>IF(AB2="","",IF(OR(AB2&gt;=0.5,AND(AC2&gt;0.1,AB2&gt;=AC2)),"X",IF(AB2&lt;=0.1,"Y","–")))</x:f>
        <x:v>#N/A</x:v>
      </x:c>
      <x:c r="AE2" s="4" t="e">
        <x:f>IF(OR(Y2="A",Responses!$AB$3="",Responses!$AB$3=0),"",IF(_xlfn.MAXIFS(Data!$J$2:$J$26,Data!$B$2:$B$26,SUMIFS(Sequence!$C:$C,Sequence!$A:$A,$B$2,Sequence!$B:$B,3),Data!$I$2:$I$26,1)-SUMIFS(Data!$J$2:$J$26,Data!$A$2:$A$26,SUMIFS(Sequence!$C:$C,Sequence!$A:$A,$B$2,Sequence!$B:$B,3)&amp;"|"&amp;INDEX(Selector!$D$2:$D$37,MATCH(SUMIFS(Sequence!$C:$C,Sequence!$A:$A,$B$2,Sequence!$B:$B,3)*100+ROUND(Responses!$AB$3*10,0),Selector!$A$2:$A$37,0)))&gt;=0.3,"X",IF(_xlfn.MAXIFS(Data!$J$2:$J$26,Data!$B$2:$B$26,SUMIFS(Sequence!$C:$C,Sequence!$A:$A,$B$2,Sequence!$B:$B,3),Data!$I$2:$I$26,1)-SUMIFS(Data!$J$2:$J$26,Data!$A$2:$A$26,SUMIFS(Sequence!$C:$C,Sequence!$A:$A,$B$2,Sequence!$B:$B,3)&amp;"|"&amp;INDEX(Selector!$D$2:$D$37,MATCH(SUMIFS(Sequence!$C:$C,Sequence!$A:$A,$B$2,Sequence!$B:$B,3)*100+ROUND(Responses!$AB$3*10,0),Selector!$A$2:$A$37,0)))&lt;=0.05,"Y","–")))</x:f>
        <x:v>#N/A</x:v>
      </x:c>
      <x:c r="AF2" s="4" t="e">
        <x:f>IF(OR(Y2&lt;&gt;"A",Responses!$AA$3=""),"",IF(AND(Responses!$AA$3=1,Responses!$AC$3&gt;=6,Responses!$D$3+Responses!$E$3&gt;=6),"X",IF(OR(AND(Responses!$AA$3&gt;=2,Responses!$D$3+Responses!$E$3&gt;=6),AND(Responses!$AA$3=1,Responses!$C$3&gt;=7)),"Y","–")))</x:f>
        <x:v>#N/A</x:v>
      </x:c>
      <x:c r="AG2" s="4" t="e">
        <x:f>INDEX(Sequence!$D$2:$D$11,MATCH(1,INDEX((Sequence!$A$2:$A$11=$B$2)*(Sequence!$B$2:$B$11=4),0),0))</x:f>
        <x:v>#N/A</x:v>
      </x:c>
      <x:c r="AH2" s="4" t="n">
        <x:f>(Responses!$AD$3=SUMIFS(Sequence!$E:$E,Sequence!$A:$A,$B$2,Sequence!$B:$B,4))*1+(Responses!$AE$3=SUMIFS(Sequence!$F:$F,Sequence!$A:$A,$B$2,Sequence!$B:$B,4))*1+(Responses!$AF$3=SUMIFS(Sequence!$G:$G,Sequence!$A:$A,$B$2,Sequence!$B:$B,4))*1</x:f>
        <x:v>3</x:v>
      </x:c>
      <x:c r="AI2" s="4" t="str">
        <x:f>IF(Responses!$AD$3="","",IF(AH2&lt;=1,"X",IF(AH2=3,"Y","–")))</x:f>
        <x:v>Y</x:v>
      </x:c>
      <x:c r="AJ2" s="4" t="e">
        <x:f>IF(OR(AG2="A",Responses!$AG$3=""),"",ROUND(_xlfn.MAXIFS(Data!$J$2:$J$26,Data!$B$2:$B$26,SUMIFS(Sequence!$C:$C,Sequence!$A:$A,$B$2,Sequence!$B:$B,4),Data!$H$2:$H$26,1)-SUMIFS(Data!$J$2:$J$26,Data!$A$2:$A$26,SUMIFS(Sequence!$C:$C,Sequence!$A:$A,$B$2,Sequence!$B:$B,4)&amp;"|"&amp;IF(AG2="R",INDEX(Repetition!$D$2:$D$20,MATCH($B$2&amp;"|"&amp;Responses!$AG$3,Repetition!$A$2:$A$20,0)),Responses!$AG$3)),3))</x:f>
        <x:v>#N/A</x:v>
      </x:c>
      <x:c r="AK2" s="4" t="e">
        <x:f>IF(AG2="A","",ROUND(_xlfn.MAXIFS(Data!$J$2:$J$26,Data!$B$2:$B$26,SUMIFS(Sequence!$C:$C,Sequence!$A:$A,$B$2,Sequence!$B:$B,4),Data!$H$2:$H$26,1)-SUMIFS(Data!$J$2:$J$26,Data!$A$2:$A$26,SUMIFS(Sequence!$C:$C,Sequence!$A:$A,$B$2,Sequence!$B:$B,4)&amp;"|"&amp;"N"),3))</x:f>
        <x:v>#N/A</x:v>
      </x:c>
      <x:c r="AL2" s="4" t="e">
        <x:f>IF(AJ2="","",IF(OR(AJ2&gt;=0.5,AND(AK2&gt;0.1,AJ2&gt;=AK2)),"X",IF(AJ2&lt;=0.1,"Y","–")))</x:f>
        <x:v>#N/A</x:v>
      </x:c>
      <x:c r="AM2" s="4" t="e">
        <x:f>IF(OR(AG2="A",Responses!$AH$3="",Responses!$AH$3=0),"",IF(_xlfn.MAXIFS(Data!$J$2:$J$26,Data!$B$2:$B$26,SUMIFS(Sequence!$C:$C,Sequence!$A:$A,$B$2,Sequence!$B:$B,4),Data!$I$2:$I$26,1)-SUMIFS(Data!$J$2:$J$26,Data!$A$2:$A$26,SUMIFS(Sequence!$C:$C,Sequence!$A:$A,$B$2,Sequence!$B:$B,4)&amp;"|"&amp;INDEX(Selector!$D$2:$D$37,MATCH(SUMIFS(Sequence!$C:$C,Sequence!$A:$A,$B$2,Sequence!$B:$B,4)*100+ROUND(Responses!$AH$3*10,0),Selector!$A$2:$A$37,0)))&gt;=0.3,"X",IF(_xlfn.MAXIFS(Data!$J$2:$J$26,Data!$B$2:$B$26,SUMIFS(Sequence!$C:$C,Sequence!$A:$A,$B$2,Sequence!$B:$B,4),Data!$I$2:$I$26,1)-SUMIFS(Data!$J$2:$J$26,Data!$A$2:$A$26,SUMIFS(Sequence!$C:$C,Sequence!$A:$A,$B$2,Sequence!$B:$B,4)&amp;"|"&amp;INDEX(Selector!$D$2:$D$37,MATCH(SUMIFS(Sequence!$C:$C,Sequence!$A:$A,$B$2,Sequence!$B:$B,4)*100+ROUND(Responses!$AH$3*10,0),Selector!$A$2:$A$37,0)))&lt;=0.05,"Y","–")))</x:f>
        <x:v>#N/A</x:v>
      </x:c>
      <x:c r="AN2" s="4" t="e">
        <x:f>IF(OR(AG2&lt;&gt;"A",Responses!$AG$3=""),"",IF(AND(Responses!$AG$3=1,Responses!$AI$3&gt;=6,Responses!$D$3+Responses!$E$3&gt;=6),"X",IF(OR(AND(Responses!$AG$3&gt;=2,Responses!$D$3+Responses!$E$3&gt;=6),AND(Responses!$AG$3=1,Responses!$C$3&gt;=7)),"Y","–")))</x:f>
        <x:v>#N/A</x:v>
      </x:c>
      <x:c r="AO2" s="4" t="e">
        <x:f>INDEX(Sequence!$D$2:$D$11,MATCH(1,INDEX((Sequence!$A$2:$A$11=$B$2)*(Sequence!$B$2:$B$11=5),0),0))</x:f>
        <x:v>#N/A</x:v>
      </x:c>
      <x:c r="AP2" s="4" t="n">
        <x:f>(Responses!$AJ$3=SUMIFS(Sequence!$E:$E,Sequence!$A:$A,$B$2,Sequence!$B:$B,5))*1+(Responses!$AK$3=SUMIFS(Sequence!$F:$F,Sequence!$A:$A,$B$2,Sequence!$B:$B,5))*1+(Responses!$AL$3=SUMIFS(Sequence!$G:$G,Sequence!$A:$A,$B$2,Sequence!$B:$B,5))*1</x:f>
        <x:v>2</x:v>
      </x:c>
      <x:c r="AQ2" s="4" t="str">
        <x:f>IF(Responses!$AJ$3="","",IF(AP2&lt;=1,"X",IF(AP2=3,"Y","–")))</x:f>
        <x:v>–</x:v>
      </x:c>
      <x:c r="AR2" s="4" t="e">
        <x:f>IF(OR(AO2="A",Responses!$AM$3=""),"",ROUND(_xlfn.MAXIFS(Data!$J$2:$J$26,Data!$B$2:$B$26,SUMIFS(Sequence!$C:$C,Sequence!$A:$A,$B$2,Sequence!$B:$B,5),Data!$H$2:$H$26,1)-SUMIFS(Data!$J$2:$J$26,Data!$A$2:$A$26,SUMIFS(Sequence!$C:$C,Sequence!$A:$A,$B$2,Sequence!$B:$B,5)&amp;"|"&amp;IF(AO2="R",INDEX(Repetition!$D$2:$D$20,MATCH($B$2&amp;"|"&amp;Responses!$AM$3,Repetition!$A$2:$A$20,0)),Responses!$AM$3)),3))</x:f>
        <x:v>#N/A</x:v>
      </x:c>
      <x:c r="AS2" s="4" t="e">
        <x:f>IF(AO2="A","",ROUND(_xlfn.MAXIFS(Data!$J$2:$J$26,Data!$B$2:$B$26,SUMIFS(Sequence!$C:$C,Sequence!$A:$A,$B$2,Sequence!$B:$B,5),Data!$H$2:$H$26,1)-SUMIFS(Data!$J$2:$J$26,Data!$A$2:$A$26,SUMIFS(Sequence!$C:$C,Sequence!$A:$A,$B$2,Sequence!$B:$B,5)&amp;"|"&amp;"N"),3))</x:f>
        <x:v>#N/A</x:v>
      </x:c>
      <x:c r="AT2" s="4" t="e">
        <x:f>IF(AR2="","",IF(OR(AR2&gt;=0.5,AND(AS2&gt;0.1,AR2&gt;=AS2)),"X",IF(AR2&lt;=0.1,"Y","–")))</x:f>
        <x:v>#N/A</x:v>
      </x:c>
      <x:c r="AU2" s="4" t="e">
        <x:f>IF(OR(AO2="A",Responses!$AN$3="",Responses!$AN$3=0),"",IF(_xlfn.MAXIFS(Data!$J$2:$J$26,Data!$B$2:$B$26,SUMIFS(Sequence!$C:$C,Sequence!$A:$A,$B$2,Sequence!$B:$B,5),Data!$I$2:$I$26,1)-SUMIFS(Data!$J$2:$J$26,Data!$A$2:$A$26,SUMIFS(Sequence!$C:$C,Sequence!$A:$A,$B$2,Sequence!$B:$B,5)&amp;"|"&amp;INDEX(Selector!$D$2:$D$37,MATCH(SUMIFS(Sequence!$C:$C,Sequence!$A:$A,$B$2,Sequence!$B:$B,5)*100+ROUND(Responses!$AN$3*10,0),Selector!$A$2:$A$37,0)))&gt;=0.3,"X",IF(_xlfn.MAXIFS(Data!$J$2:$J$26,Data!$B$2:$B$26,SUMIFS(Sequence!$C:$C,Sequence!$A:$A,$B$2,Sequence!$B:$B,5),Data!$I$2:$I$26,1)-SUMIFS(Data!$J$2:$J$26,Data!$A$2:$A$26,SUMIFS(Sequence!$C:$C,Sequence!$A:$A,$B$2,Sequence!$B:$B,5)&amp;"|"&amp;INDEX(Selector!$D$2:$D$37,MATCH(SUMIFS(Sequence!$C:$C,Sequence!$A:$A,$B$2,Sequence!$B:$B,5)*100+ROUND(Responses!$AN$3*10,0),Selector!$A$2:$A$37,0)))&lt;=0.05,"Y","–")))</x:f>
        <x:v>#N/A</x:v>
      </x:c>
      <x:c r="AV2" s="4" t="e">
        <x:f>IF(OR(AO2&lt;&gt;"A",Responses!$AM$3=""),"",IF(AND(Responses!$AM$3=1,Responses!$AO$3&gt;=6,Responses!$D$3+Responses!$E$3&gt;=6),"X",IF(OR(AND(Responses!$AM$3&gt;=2,Responses!$D$3+Responses!$E$3&gt;=6),AND(Responses!$AM$3=1,Responses!$C$3&gt;=7)),"Y","–")))</x:f>
        <x:v>#N/A</x:v>
      </x:c>
      <x:c r="AW2" s="4" t="str">
        <x:f>IF(Responses!$BE$3="","",IF(OR(Responses!$BE$3&lt;25,Responses!$BE$3&gt;150),"X",IF(AND(Responses!$BE$3&gt;=45,Responses!$BE$3&lt;=100),"Y","–")))</x:f>
      </x:c>
      <x:c r="AX2" s="4" t="e">
        <x:f>IF(OR(AR2="",IF($B$2="X",AB2,L2)=""),"",ABS(AR2-IF($B$2="X",AB2,L2)))</x:f>
        <x:v>#N/A</x:v>
      </x:c>
      <x:c r="AY2" s="4" t="e">
        <x:f>IF(AX2="","",IF(AX2&gt;0.25,"X",IF(AX2=0,"Y","–")))</x:f>
        <x:v>#N/A</x:v>
      </x:c>
      <x:c r="AZ2" s="4" t="n">
        <x:f>(Responses!$AP$3=INDEX(VignetteKeys!$B$2:$B$3,MATCH($B$2,VignetteKeys!$A$2:$A$3,0)))*1+(Responses!$AQ$3=INDEX(VignetteKeys!$C$2:$C$3,MATCH($B$2,VignetteKeys!$A$2:$A$3,0)))*1+(Responses!$AR$3=INDEX(VignetteKeys!$D$2:$D$3,MATCH($B$2,VignetteKeys!$A$2:$A$3,0)))*1+(Responses!$AS$3=INDEX(VignetteKeys!$E$2:$E$3,MATCH($B$2,VignetteKeys!$A$2:$A$3,0)))*1</x:f>
        <x:v>2</x:v>
      </x:c>
      <x:c r="BA2" s="4" t="str">
        <x:f>IF(Responses!$AP$3="","",IF(OR(AND(Responses!$AP$3&lt;&gt;INDEX(VignetteKeys!$B$2:$B$3,MATCH($B$2,VignetteKeys!$A$2:$A$3,0)),Responses!$AQ$3&lt;&gt;INDEX(VignetteKeys!$C$2:$C$3,MATCH($B$2,VignetteKeys!$A$2:$A$3,0))),AND(Responses!$AR$3&lt;&gt;INDEX(VignetteKeys!$D$2:$D$3,MATCH($B$2,VignetteKeys!$A$2:$A$3,0)),Responses!$AS$3&lt;&gt;INDEX(VignetteKeys!$E$2:$E$3,MATCH($B$2,VignetteKeys!$A$2:$A$3,0)))),"X",IF(AZ2=4,"Y","–")))</x:f>
        <x:v>–</x:v>
      </x:c>
      <x:c r="BB2" s="4" t="str">
        <x:f>IF(Responses!$AT$3="","",IF(Responses!$AT$3&lt;&gt;4,"X","Y"))</x:f>
        <x:v>Y</x:v>
      </x:c>
      <x:c r="BC2" s="4" t="n">
        <x:f>IF(COUNT(Responses!$AU$3:$BD$3)&lt;10,"",((Responses!$AU$3-1)+(Responses!$AW$3-1)+(Responses!$AY$3-1)+(Responses!$BA$3-1)+(Responses!$BC$3-1)+(5-Responses!$AV$3)+(5-Responses!$AX$3)+(5-Responses!$AZ$3)+(5-Responses!$BB$3)+(5-Responses!$BD$3))*2.5)</x:f>
        <x:v>62.5</x:v>
      </x:c>
      <x:c r="BD2" s="4" t="str">
        <x:f>IF(BC2="","",IF(BC2&lt;50,"X",IF(BC2&gt;=68,"Y","–")))</x:f>
        <x:v>–</x:v>
      </x:c>
      <x:c r="BE2" s="4" t="e">
        <x:f>IF((IF(AND(I2&lt;&gt;"A",ISNUMBER(Responses!$Q$3)),1,0)+IF(AND(Q2&lt;&gt;"A",ISNUMBER(Responses!$W$3)),1,0)+IF(AND(Y2&lt;&gt;"A",ISNUMBER(Responses!$AC$3)),1,0)+IF(AND(AG2&lt;&gt;"A",ISNUMBER(Responses!$AI$3)),1,0)+IF(AND(AO2&lt;&gt;"A",ISNUMBER(Responses!$AO$3)),1,0))=0,"",ROUND((IF(AND(I2&lt;&gt;"A",ISNUMBER(Responses!$Q$3)),Responses!$Q$3,0)+IF(AND(Q2&lt;&gt;"A",ISNUMBER(Responses!$W$3)),Responses!$W$3,0)+IF(AND(Y2&lt;&gt;"A",ISNUMBER(Responses!$AC$3)),Responses!$AC$3,0)+IF(AND(AG2&lt;&gt;"A",ISNUMBER(Responses!$AI$3)),Responses!$AI$3,0)+IF(AND(AO2&lt;&gt;"A",ISNUMBER(Responses!$AO$3)),Responses!$AO$3,0))/(IF(AND(I2&lt;&gt;"A",ISNUMBER(Responses!$Q$3)),1,0)+IF(AND(Q2&lt;&gt;"A",ISNUMBER(Responses!$W$3)),1,0)+IF(AND(Y2&lt;&gt;"A",ISNUMBER(Responses!$AC$3)),1,0)+IF(AND(AG2&lt;&gt;"A",ISNUMBER(Responses!$AI$3)),1,0)+IF(AND(AO2&lt;&gt;"A",ISNUMBER(Responses!$AO$3)),1,0)),2))</x:f>
        <x:v>#N/A</x:v>
      </x:c>
      <x:c r="BF2" s="4" t="e">
        <x:f>IF((IF(AND(I2="A",ISNUMBER(Responses!$Q$3)),1,0)+IF(AND(Q2="A",ISNUMBER(Responses!$W$3)),1,0)+IF(AND(Y2="A",ISNUMBER(Responses!$AC$3)),1,0)+IF(AND(AG2="A",ISNUMBER(Responses!$AI$3)),1,0)+IF(AND(AO2="A",ISNUMBER(Responses!$AO$3)),1,0))=0,"",ROUND((IF(AND(I2="A",ISNUMBER(Responses!$Q$3)),Responses!$Q$3,0)+IF(AND(Q2="A",ISNUMBER(Responses!$W$3)),Responses!$W$3,0)+IF(AND(Y2="A",ISNUMBER(Responses!$AC$3)),Responses!$AC$3,0)+IF(AND(AG2="A",ISNUMBER(Responses!$AI$3)),Responses!$AI$3,0)+IF(AND(AO2="A",ISNUMBER(Responses!$AO$3)),Responses!$AO$3,0))/(IF(AND(I2="A",ISNUMBER(Responses!$Q$3)),1,0)+IF(AND(Q2="A",ISNUMBER(Responses!$W$3)),1,0)+IF(AND(Y2="A",ISNUMBER(Responses!$AC$3)),1,0)+IF(AND(AG2="A",ISNUMBER(Responses!$AI$3)),1,0)+IF(AND(AO2="A",ISNUMBER(Responses!$AO$3)),1,0)),2))</x:f>
        <x:v>#N/A</x:v>
      </x:c>
      <x:c r="BG2" s="4" t="e">
        <x:f>IF(OR(BE2="",BF2=""),"",IF(BF2-BE2&gt;=3,"X",IF(BE2&gt;=BF2,"Y","–")))</x:f>
        <x:v>#N/A</x:v>
      </x:c>
      <x:c r="BH2" s="4" t="e">
        <x:f>(D2="X")*1+(F2="X")*1+(H2="X")*1+(K2="X")*1+(N2="X")*1+(O2="X")*1+(P2="X")*1+(S2="X")*1+(V2="X")*1+(W2="X")*1+(X2="X")*1+(AA2="X")*1+(AD2="X")*1+(AE2="X")*1+(AF2="X")*1+(AI2="X")*1+(AL2="X")*1+(AM2="X")*1+(AN2="X")*1+(AQ2="X")*1+(AT2="X")*1+(AU2="X")*1+(AV2="X")*1+(AW2="X")*1+(AY2="X")*1+(BA2="X")*1+(BB2="X")*1+(BD2="X")*1+(BG2="X")*1</x:f>
        <x:v>#N/A</x:v>
      </x:c>
    </x:row>
    <x:row r="3">
      <x:c r="A3" s="4" t="str">
        <x:f>Responses!$A$4</x:f>
        <x:v>P02</x:v>
      </x:c>
      <x:c r="B3" s="4" t="str">
        <x:f>Responses!$B$4</x:f>
        <x:v>Y</x:v>
      </x:c>
      <x:c r="C3" s="4" t="n">
        <x:f>SUM(Responses!$C$4,Responses!$D$4,Responses!$E$4)</x:f>
        <x:v>10</x:v>
      </x:c>
      <x:c r="D3" s="4" t="str">
        <x:f>IF(C3=0,"",IF(C3&lt;&gt;10,"X","Y"))</x:f>
        <x:v>Y</x:v>
      </x:c>
      <x:c r="E3" s="4" t="n">
        <x:f>IF(OR(Responses!$F$4="",Responses!$F$4&gt;6),"",MAX(ABS(Responses!$C$4-INDEX(Profiles!$C$2:$C$7,Responses!$F$4)),ABS(Responses!$D$4-INDEX(Profiles!$D$2:$D$7,Responses!$F$4)),ABS(Responses!$E$4-INDEX(Profiles!$E$2:$E$7,Responses!$F$4))))</x:f>
        <x:v>2</x:v>
      </x:c>
      <x:c r="F3" s="4" t="str">
        <x:f>IF(E3="","",IF(E3&gt;=4,"X",IF(E3&lt;=2,"Y","–")))</x:f>
        <x:v>Y</x:v>
      </x:c>
      <x:c r="G3" s="4" t="n">
        <x:f>(Responses!$G$4=2)*1+(Responses!$H$4=1)*1+(Responses!$I$4=2)*1+(Responses!$J$4=2)*1+(Responses!$K$4=2)*1</x:f>
        <x:v>5</x:v>
      </x:c>
      <x:c r="H3" s="4" t="str">
        <x:f>IF(Responses!$G$4="","",IF(G3&lt;=3,"X",IF(G3=5,"Y","–")))</x:f>
        <x:v>Y</x:v>
      </x:c>
      <x:c r="I3" s="4" t="e">
        <x:f>INDEX(Sequence!$D$2:$D$11,MATCH(1,INDEX((Sequence!$A$2:$A$11=$B$3)*(Sequence!$B$2:$B$11=1),0),0))</x:f>
        <x:v>#N/A</x:v>
      </x:c>
      <x:c r="J3" s="4" t="n">
        <x:f>(Responses!$L$4=SUMIFS(Sequence!$E:$E,Sequence!$A:$A,$B$3,Sequence!$B:$B,1))*1+(Responses!$M$4=SUMIFS(Sequence!$F:$F,Sequence!$A:$A,$B$3,Sequence!$B:$B,1))*1+(Responses!$N$4=SUMIFS(Sequence!$G:$G,Sequence!$A:$A,$B$3,Sequence!$B:$B,1))*1</x:f>
        <x:v>3</x:v>
      </x:c>
      <x:c r="K3" s="4" t="str">
        <x:f>IF(Responses!$L$4="","",IF(J3&lt;=1,"X",IF(J3=3,"Y","–")))</x:f>
        <x:v>Y</x:v>
      </x:c>
      <x:c r="L3" s="4" t="e">
        <x:f>IF(OR(I3="A",Responses!$O$4=""),"",ROUND(_xlfn.MAXIFS(Data!$K$2:$K$26,Data!$B$2:$B$26,SUMIFS(Sequence!$C:$C,Sequence!$A:$A,$B$3,Sequence!$B:$B,1),Data!$H$2:$H$26,1)-SUMIFS(Data!$K$2:$K$26,Data!$A$2:$A$26,SUMIFS(Sequence!$C:$C,Sequence!$A:$A,$B$3,Sequence!$B:$B,1)&amp;"|"&amp;IF(I3="R",INDEX(Repetition!$D$2:$D$20,MATCH($B$3&amp;"|"&amp;Responses!$O$4,Repetition!$A$2:$A$20,0)),Responses!$O$4)),3))</x:f>
        <x:v>#N/A</x:v>
      </x:c>
      <x:c r="M3" s="4" t="e">
        <x:f>IF(I3="A","",ROUND(_xlfn.MAXIFS(Data!$K$2:$K$26,Data!$B$2:$B$26,SUMIFS(Sequence!$C:$C,Sequence!$A:$A,$B$3,Sequence!$B:$B,1),Data!$H$2:$H$26,1)-SUMIFS(Data!$K$2:$K$26,Data!$A$2:$A$26,SUMIFS(Sequence!$C:$C,Sequence!$A:$A,$B$3,Sequence!$B:$B,1)&amp;"|"&amp;"N"),3))</x:f>
        <x:v>#N/A</x:v>
      </x:c>
      <x:c r="N3" s="4" t="e">
        <x:f>IF(L3="","",IF(OR(L3&gt;=0.5,AND(M3&gt;0.1,L3&gt;=M3)),"X",IF(L3&lt;=0.1,"Y","–")))</x:f>
        <x:v>#N/A</x:v>
      </x:c>
      <x:c r="O3" s="4" t="e">
        <x:f>IF(OR(I3="A",Responses!$P$4="",Responses!$P$4=0),"",IF(_xlfn.MAXIFS(Data!$K$2:$K$26,Data!$B$2:$B$26,SUMIFS(Sequence!$C:$C,Sequence!$A:$A,$B$3,Sequence!$B:$B,1),Data!$I$2:$I$26,1)-SUMIFS(Data!$K$2:$K$26,Data!$A$2:$A$26,SUMIFS(Sequence!$C:$C,Sequence!$A:$A,$B$3,Sequence!$B:$B,1)&amp;"|"&amp;INDEX(Selector!$D$2:$D$37,MATCH(SUMIFS(Sequence!$C:$C,Sequence!$A:$A,$B$3,Sequence!$B:$B,1)*100+ROUND(Responses!$P$4*10,0),Selector!$A$2:$A$37,0)))&gt;=0.3,"X",IF(_xlfn.MAXIFS(Data!$K$2:$K$26,Data!$B$2:$B$26,SUMIFS(Sequence!$C:$C,Sequence!$A:$A,$B$3,Sequence!$B:$B,1),Data!$I$2:$I$26,1)-SUMIFS(Data!$K$2:$K$26,Data!$A$2:$A$26,SUMIFS(Sequence!$C:$C,Sequence!$A:$A,$B$3,Sequence!$B:$B,1)&amp;"|"&amp;INDEX(Selector!$D$2:$D$37,MATCH(SUMIFS(Sequence!$C:$C,Sequence!$A:$A,$B$3,Sequence!$B:$B,1)*100+ROUND(Responses!$P$4*10,0),Selector!$A$2:$A$37,0)))&lt;=0.05,"Y","–")))</x:f>
        <x:v>#N/A</x:v>
      </x:c>
      <x:c r="P3" s="4" t="e">
        <x:f>IF(OR(I3&lt;&gt;"A",Responses!$O$4=""),"",IF(AND(Responses!$O$4=1,Responses!$Q$4&gt;=6,Responses!$D$4+Responses!$E$4&gt;=6),"X",IF(OR(AND(Responses!$O$4&gt;=2,Responses!$D$4+Responses!$E$4&gt;=6),AND(Responses!$O$4=1,Responses!$C$4&gt;=7)),"Y","–")))</x:f>
        <x:v>#N/A</x:v>
      </x:c>
      <x:c r="Q3" s="4" t="e">
        <x:f>INDEX(Sequence!$D$2:$D$11,MATCH(1,INDEX((Sequence!$A$2:$A$11=$B$3)*(Sequence!$B$2:$B$11=2),0),0))</x:f>
        <x:v>#N/A</x:v>
      </x:c>
      <x:c r="R3" s="4" t="n">
        <x:f>(Responses!$R$4=SUMIFS(Sequence!$E:$E,Sequence!$A:$A,$B$3,Sequence!$B:$B,2))*1+(Responses!$S$4=SUMIFS(Sequence!$F:$F,Sequence!$A:$A,$B$3,Sequence!$B:$B,2))*1+(Responses!$T$4=SUMIFS(Sequence!$G:$G,Sequence!$A:$A,$B$3,Sequence!$B:$B,2))*1</x:f>
        <x:v>3</x:v>
      </x:c>
      <x:c r="S3" s="4" t="str">
        <x:f>IF(Responses!$R$4="","",IF(R3&lt;=1,"X",IF(R3=3,"Y","–")))</x:f>
        <x:v>Y</x:v>
      </x:c>
      <x:c r="T3" s="4" t="e">
        <x:f>IF(OR(Q3="A",Responses!$U$4=""),"",ROUND(_xlfn.MAXIFS(Data!$K$2:$K$26,Data!$B$2:$B$26,SUMIFS(Sequence!$C:$C,Sequence!$A:$A,$B$3,Sequence!$B:$B,2),Data!$H$2:$H$26,1)-SUMIFS(Data!$K$2:$K$26,Data!$A$2:$A$26,SUMIFS(Sequence!$C:$C,Sequence!$A:$A,$B$3,Sequence!$B:$B,2)&amp;"|"&amp;IF(Q3="R",INDEX(Repetition!$D$2:$D$20,MATCH($B$3&amp;"|"&amp;Responses!$U$4,Repetition!$A$2:$A$20,0)),Responses!$U$4)),3))</x:f>
        <x:v>#N/A</x:v>
      </x:c>
      <x:c r="U3" s="4" t="e">
        <x:f>IF(Q3="A","",ROUND(_xlfn.MAXIFS(Data!$K$2:$K$26,Data!$B$2:$B$26,SUMIFS(Sequence!$C:$C,Sequence!$A:$A,$B$3,Sequence!$B:$B,2),Data!$H$2:$H$26,1)-SUMIFS(Data!$K$2:$K$26,Data!$A$2:$A$26,SUMIFS(Sequence!$C:$C,Sequence!$A:$A,$B$3,Sequence!$B:$B,2)&amp;"|"&amp;"N"),3))</x:f>
        <x:v>#N/A</x:v>
      </x:c>
      <x:c r="V3" s="4" t="e">
        <x:f>IF(T3="","",IF(OR(T3&gt;=0.5,AND(U3&gt;0.1,T3&gt;=U3)),"X",IF(T3&lt;=0.1,"Y","–")))</x:f>
        <x:v>#N/A</x:v>
      </x:c>
      <x:c r="W3" s="4" t="e">
        <x:f>IF(OR(Q3="A",Responses!$V$4="",Responses!$V$4=0),"",IF(_xlfn.MAXIFS(Data!$K$2:$K$26,Data!$B$2:$B$26,SUMIFS(Sequence!$C:$C,Sequence!$A:$A,$B$3,Sequence!$B:$B,2),Data!$I$2:$I$26,1)-SUMIFS(Data!$K$2:$K$26,Data!$A$2:$A$26,SUMIFS(Sequence!$C:$C,Sequence!$A:$A,$B$3,Sequence!$B:$B,2)&amp;"|"&amp;INDEX(Selector!$D$2:$D$37,MATCH(SUMIFS(Sequence!$C:$C,Sequence!$A:$A,$B$3,Sequence!$B:$B,2)*100+ROUND(Responses!$V$4*10,0),Selector!$A$2:$A$37,0)))&gt;=0.3,"X",IF(_xlfn.MAXIFS(Data!$K$2:$K$26,Data!$B$2:$B$26,SUMIFS(Sequence!$C:$C,Sequence!$A:$A,$B$3,Sequence!$B:$B,2),Data!$I$2:$I$26,1)-SUMIFS(Data!$K$2:$K$26,Data!$A$2:$A$26,SUMIFS(Sequence!$C:$C,Sequence!$A:$A,$B$3,Sequence!$B:$B,2)&amp;"|"&amp;INDEX(Selector!$D$2:$D$37,MATCH(SUMIFS(Sequence!$C:$C,Sequence!$A:$A,$B$3,Sequence!$B:$B,2)*100+ROUND(Responses!$V$4*10,0),Selector!$A$2:$A$37,0)))&lt;=0.05,"Y","–")))</x:f>
        <x:v>#N/A</x:v>
      </x:c>
      <x:c r="X3" s="4" t="e">
        <x:f>IF(OR(Q3&lt;&gt;"A",Responses!$U$4=""),"",IF(AND(Responses!$U$4=1,Responses!$W$4&gt;=6,Responses!$D$4+Responses!$E$4&gt;=6),"X",IF(OR(AND(Responses!$U$4&gt;=2,Responses!$D$4+Responses!$E$4&gt;=6),AND(Responses!$U$4=1,Responses!$C$4&gt;=7)),"Y","–")))</x:f>
        <x:v>#N/A</x:v>
      </x:c>
      <x:c r="Y3" s="4" t="e">
        <x:f>INDEX(Sequence!$D$2:$D$11,MATCH(1,INDEX((Sequence!$A$2:$A$11=$B$3)*(Sequence!$B$2:$B$11=3),0),0))</x:f>
        <x:v>#N/A</x:v>
      </x:c>
      <x:c r="Z3" s="4" t="n">
        <x:f>(Responses!$X$4=SUMIFS(Sequence!$E:$E,Sequence!$A:$A,$B$3,Sequence!$B:$B,3))*1+(Responses!$Y$4=SUMIFS(Sequence!$F:$F,Sequence!$A:$A,$B$3,Sequence!$B:$B,3))*1+(Responses!$Z$4=SUMIFS(Sequence!$G:$G,Sequence!$A:$A,$B$3,Sequence!$B:$B,3))*1</x:f>
        <x:v>3</x:v>
      </x:c>
      <x:c r="AA3" s="4" t="str">
        <x:f>IF(Responses!$X$4="","",IF(Z3&lt;=1,"X",IF(Z3=3,"Y","–")))</x:f>
        <x:v>Y</x:v>
      </x:c>
      <x:c r="AB3" s="4" t="e">
        <x:f>IF(OR(Y3="A",Responses!$AA$4=""),"",ROUND(_xlfn.MAXIFS(Data!$K$2:$K$26,Data!$B$2:$B$26,SUMIFS(Sequence!$C:$C,Sequence!$A:$A,$B$3,Sequence!$B:$B,3),Data!$H$2:$H$26,1)-SUMIFS(Data!$K$2:$K$26,Data!$A$2:$A$26,SUMIFS(Sequence!$C:$C,Sequence!$A:$A,$B$3,Sequence!$B:$B,3)&amp;"|"&amp;IF(Y3="R",INDEX(Repetition!$D$2:$D$20,MATCH($B$3&amp;"|"&amp;Responses!$AA$4,Repetition!$A$2:$A$20,0)),Responses!$AA$4)),3))</x:f>
        <x:v>#N/A</x:v>
      </x:c>
      <x:c r="AC3" s="4" t="e">
        <x:f>IF(Y3="A","",ROUND(_xlfn.MAXIFS(Data!$K$2:$K$26,Data!$B$2:$B$26,SUMIFS(Sequence!$C:$C,Sequence!$A:$A,$B$3,Sequence!$B:$B,3),Data!$H$2:$H$26,1)-SUMIFS(Data!$K$2:$K$26,Data!$A$2:$A$26,SUMIFS(Sequence!$C:$C,Sequence!$A:$A,$B$3,Sequence!$B:$B,3)&amp;"|"&amp;"N"),3))</x:f>
        <x:v>#N/A</x:v>
      </x:c>
      <x:c r="AD3" s="4" t="e">
        <x:f>IF(AB3="","",IF(OR(AB3&gt;=0.5,AND(AC3&gt;0.1,AB3&gt;=AC3)),"X",IF(AB3&lt;=0.1,"Y","–")))</x:f>
        <x:v>#N/A</x:v>
      </x:c>
      <x:c r="AE3" s="4" t="e">
        <x:f>IF(OR(Y3="A",Responses!$AB$4="",Responses!$AB$4=0),"",IF(_xlfn.MAXIFS(Data!$K$2:$K$26,Data!$B$2:$B$26,SUMIFS(Sequence!$C:$C,Sequence!$A:$A,$B$3,Sequence!$B:$B,3),Data!$I$2:$I$26,1)-SUMIFS(Data!$K$2:$K$26,Data!$A$2:$A$26,SUMIFS(Sequence!$C:$C,Sequence!$A:$A,$B$3,Sequence!$B:$B,3)&amp;"|"&amp;INDEX(Selector!$D$2:$D$37,MATCH(SUMIFS(Sequence!$C:$C,Sequence!$A:$A,$B$3,Sequence!$B:$B,3)*100+ROUND(Responses!$AB$4*10,0),Selector!$A$2:$A$37,0)))&gt;=0.3,"X",IF(_xlfn.MAXIFS(Data!$K$2:$K$26,Data!$B$2:$B$26,SUMIFS(Sequence!$C:$C,Sequence!$A:$A,$B$3,Sequence!$B:$B,3),Data!$I$2:$I$26,1)-SUMIFS(Data!$K$2:$K$26,Data!$A$2:$A$26,SUMIFS(Sequence!$C:$C,Sequence!$A:$A,$B$3,Sequence!$B:$B,3)&amp;"|"&amp;INDEX(Selector!$D$2:$D$37,MATCH(SUMIFS(Sequence!$C:$C,Sequence!$A:$A,$B$3,Sequence!$B:$B,3)*100+ROUND(Responses!$AB$4*10,0),Selector!$A$2:$A$37,0)))&lt;=0.05,"Y","–")))</x:f>
        <x:v>#N/A</x:v>
      </x:c>
      <x:c r="AF3" s="4" t="e">
        <x:f>IF(OR(Y3&lt;&gt;"A",Responses!$AA$4=""),"",IF(AND(Responses!$AA$4=1,Responses!$AC$4&gt;=6,Responses!$D$4+Responses!$E$4&gt;=6),"X",IF(OR(AND(Responses!$AA$4&gt;=2,Responses!$D$4+Responses!$E$4&gt;=6),AND(Responses!$AA$4=1,Responses!$C$4&gt;=7)),"Y","–")))</x:f>
        <x:v>#N/A</x:v>
      </x:c>
      <x:c r="AG3" s="4" t="e">
        <x:f>INDEX(Sequence!$D$2:$D$11,MATCH(1,INDEX((Sequence!$A$2:$A$11=$B$3)*(Sequence!$B$2:$B$11=4),0),0))</x:f>
        <x:v>#N/A</x:v>
      </x:c>
      <x:c r="AH3" s="4" t="n">
        <x:f>(Responses!$AD$4=SUMIFS(Sequence!$E:$E,Sequence!$A:$A,$B$3,Sequence!$B:$B,4))*1+(Responses!$AE$4=SUMIFS(Sequence!$F:$F,Sequence!$A:$A,$B$3,Sequence!$B:$B,4))*1+(Responses!$AF$4=SUMIFS(Sequence!$G:$G,Sequence!$A:$A,$B$3,Sequence!$B:$B,4))*1</x:f>
        <x:v>3</x:v>
      </x:c>
      <x:c r="AI3" s="4" t="str">
        <x:f>IF(Responses!$AD$4="","",IF(AH3&lt;=1,"X",IF(AH3=3,"Y","–")))</x:f>
        <x:v>Y</x:v>
      </x:c>
      <x:c r="AJ3" s="4" t="e">
        <x:f>IF(OR(AG3="A",Responses!$AG$4=""),"",ROUND(_xlfn.MAXIFS(Data!$K$2:$K$26,Data!$B$2:$B$26,SUMIFS(Sequence!$C:$C,Sequence!$A:$A,$B$3,Sequence!$B:$B,4),Data!$H$2:$H$26,1)-SUMIFS(Data!$K$2:$K$26,Data!$A$2:$A$26,SUMIFS(Sequence!$C:$C,Sequence!$A:$A,$B$3,Sequence!$B:$B,4)&amp;"|"&amp;IF(AG3="R",INDEX(Repetition!$D$2:$D$20,MATCH($B$3&amp;"|"&amp;Responses!$AG$4,Repetition!$A$2:$A$20,0)),Responses!$AG$4)),3))</x:f>
        <x:v>#N/A</x:v>
      </x:c>
      <x:c r="AK3" s="4" t="e">
        <x:f>IF(AG3="A","",ROUND(_xlfn.MAXIFS(Data!$K$2:$K$26,Data!$B$2:$B$26,SUMIFS(Sequence!$C:$C,Sequence!$A:$A,$B$3,Sequence!$B:$B,4),Data!$H$2:$H$26,1)-SUMIFS(Data!$K$2:$K$26,Data!$A$2:$A$26,SUMIFS(Sequence!$C:$C,Sequence!$A:$A,$B$3,Sequence!$B:$B,4)&amp;"|"&amp;"N"),3))</x:f>
        <x:v>#N/A</x:v>
      </x:c>
      <x:c r="AL3" s="4" t="e">
        <x:f>IF(AJ3="","",IF(OR(AJ3&gt;=0.5,AND(AK3&gt;0.1,AJ3&gt;=AK3)),"X",IF(AJ3&lt;=0.1,"Y","–")))</x:f>
        <x:v>#N/A</x:v>
      </x:c>
      <x:c r="AM3" s="4" t="e">
        <x:f>IF(OR(AG3="A",Responses!$AH$4="",Responses!$AH$4=0),"",IF(_xlfn.MAXIFS(Data!$K$2:$K$26,Data!$B$2:$B$26,SUMIFS(Sequence!$C:$C,Sequence!$A:$A,$B$3,Sequence!$B:$B,4),Data!$I$2:$I$26,1)-SUMIFS(Data!$K$2:$K$26,Data!$A$2:$A$26,SUMIFS(Sequence!$C:$C,Sequence!$A:$A,$B$3,Sequence!$B:$B,4)&amp;"|"&amp;INDEX(Selector!$D$2:$D$37,MATCH(SUMIFS(Sequence!$C:$C,Sequence!$A:$A,$B$3,Sequence!$B:$B,4)*100+ROUND(Responses!$AH$4*10,0),Selector!$A$2:$A$37,0)))&gt;=0.3,"X",IF(_xlfn.MAXIFS(Data!$K$2:$K$26,Data!$B$2:$B$26,SUMIFS(Sequence!$C:$C,Sequence!$A:$A,$B$3,Sequence!$B:$B,4),Data!$I$2:$I$26,1)-SUMIFS(Data!$K$2:$K$26,Data!$A$2:$A$26,SUMIFS(Sequence!$C:$C,Sequence!$A:$A,$B$3,Sequence!$B:$B,4)&amp;"|"&amp;INDEX(Selector!$D$2:$D$37,MATCH(SUMIFS(Sequence!$C:$C,Sequence!$A:$A,$B$3,Sequence!$B:$B,4)*100+ROUND(Responses!$AH$4*10,0),Selector!$A$2:$A$37,0)))&lt;=0.05,"Y","–")))</x:f>
        <x:v>#N/A</x:v>
      </x:c>
      <x:c r="AN3" s="4" t="e">
        <x:f>IF(OR(AG3&lt;&gt;"A",Responses!$AG$4=""),"",IF(AND(Responses!$AG$4=1,Responses!$AI$4&gt;=6,Responses!$D$4+Responses!$E$4&gt;=6),"X",IF(OR(AND(Responses!$AG$4&gt;=2,Responses!$D$4+Responses!$E$4&gt;=6),AND(Responses!$AG$4=1,Responses!$C$4&gt;=7)),"Y","–")))</x:f>
        <x:v>#N/A</x:v>
      </x:c>
      <x:c r="AO3" s="4" t="e">
        <x:f>INDEX(Sequence!$D$2:$D$11,MATCH(1,INDEX((Sequence!$A$2:$A$11=$B$3)*(Sequence!$B$2:$B$11=5),0),0))</x:f>
        <x:v>#N/A</x:v>
      </x:c>
      <x:c r="AP3" s="4" t="n">
        <x:f>(Responses!$AJ$4=SUMIFS(Sequence!$E:$E,Sequence!$A:$A,$B$3,Sequence!$B:$B,5))*1+(Responses!$AK$4=SUMIFS(Sequence!$F:$F,Sequence!$A:$A,$B$3,Sequence!$B:$B,5))*1+(Responses!$AL$4=SUMIFS(Sequence!$G:$G,Sequence!$A:$A,$B$3,Sequence!$B:$B,5))*1</x:f>
        <x:v>2</x:v>
      </x:c>
      <x:c r="AQ3" s="4" t="str">
        <x:f>IF(Responses!$AJ$4="","",IF(AP3&lt;=1,"X",IF(AP3=3,"Y","–")))</x:f>
        <x:v>–</x:v>
      </x:c>
      <x:c r="AR3" s="4" t="e">
        <x:f>IF(OR(AO3="A",Responses!$AM$4=""),"",ROUND(_xlfn.MAXIFS(Data!$K$2:$K$26,Data!$B$2:$B$26,SUMIFS(Sequence!$C:$C,Sequence!$A:$A,$B$3,Sequence!$B:$B,5),Data!$H$2:$H$26,1)-SUMIFS(Data!$K$2:$K$26,Data!$A$2:$A$26,SUMIFS(Sequence!$C:$C,Sequence!$A:$A,$B$3,Sequence!$B:$B,5)&amp;"|"&amp;IF(AO3="R",INDEX(Repetition!$D$2:$D$20,MATCH($B$3&amp;"|"&amp;Responses!$AM$4,Repetition!$A$2:$A$20,0)),Responses!$AM$4)),3))</x:f>
        <x:v>#N/A</x:v>
      </x:c>
      <x:c r="AS3" s="4" t="e">
        <x:f>IF(AO3="A","",ROUND(_xlfn.MAXIFS(Data!$K$2:$K$26,Data!$B$2:$B$26,SUMIFS(Sequence!$C:$C,Sequence!$A:$A,$B$3,Sequence!$B:$B,5),Data!$H$2:$H$26,1)-SUMIFS(Data!$K$2:$K$26,Data!$A$2:$A$26,SUMIFS(Sequence!$C:$C,Sequence!$A:$A,$B$3,Sequence!$B:$B,5)&amp;"|"&amp;"N"),3))</x:f>
        <x:v>#N/A</x:v>
      </x:c>
      <x:c r="AT3" s="4" t="e">
        <x:f>IF(AR3="","",IF(OR(AR3&gt;=0.5,AND(AS3&gt;0.1,AR3&gt;=AS3)),"X",IF(AR3&lt;=0.1,"Y","–")))</x:f>
        <x:v>#N/A</x:v>
      </x:c>
      <x:c r="AU3" s="4" t="e">
        <x:f>IF(OR(AO3="A",Responses!$AN$4="",Responses!$AN$4=0),"",IF(_xlfn.MAXIFS(Data!$K$2:$K$26,Data!$B$2:$B$26,SUMIFS(Sequence!$C:$C,Sequence!$A:$A,$B$3,Sequence!$B:$B,5),Data!$I$2:$I$26,1)-SUMIFS(Data!$K$2:$K$26,Data!$A$2:$A$26,SUMIFS(Sequence!$C:$C,Sequence!$A:$A,$B$3,Sequence!$B:$B,5)&amp;"|"&amp;INDEX(Selector!$D$2:$D$37,MATCH(SUMIFS(Sequence!$C:$C,Sequence!$A:$A,$B$3,Sequence!$B:$B,5)*100+ROUND(Responses!$AN$4*10,0),Selector!$A$2:$A$37,0)))&gt;=0.3,"X",IF(_xlfn.MAXIFS(Data!$K$2:$K$26,Data!$B$2:$B$26,SUMIFS(Sequence!$C:$C,Sequence!$A:$A,$B$3,Sequence!$B:$B,5),Data!$I$2:$I$26,1)-SUMIFS(Data!$K$2:$K$26,Data!$A$2:$A$26,SUMIFS(Sequence!$C:$C,Sequence!$A:$A,$B$3,Sequence!$B:$B,5)&amp;"|"&amp;INDEX(Selector!$D$2:$D$37,MATCH(SUMIFS(Sequence!$C:$C,Sequence!$A:$A,$B$3,Sequence!$B:$B,5)*100+ROUND(Responses!$AN$4*10,0),Selector!$A$2:$A$37,0)))&lt;=0.05,"Y","–")))</x:f>
        <x:v>#N/A</x:v>
      </x:c>
      <x:c r="AV3" s="4" t="e">
        <x:f>IF(OR(AO3&lt;&gt;"A",Responses!$AM$4=""),"",IF(AND(Responses!$AM$4=1,Responses!$AO$4&gt;=6,Responses!$D$4+Responses!$E$4&gt;=6),"X",IF(OR(AND(Responses!$AM$4&gt;=2,Responses!$D$4+Responses!$E$4&gt;=6),AND(Responses!$AM$4=1,Responses!$C$4&gt;=7)),"Y","–")))</x:f>
        <x:v>#N/A</x:v>
      </x:c>
      <x:c r="AW3" s="4" t="str">
        <x:f>IF(Responses!$BE$4="","",IF(OR(Responses!$BE$4&lt;25,Responses!$BE$4&gt;150),"X",IF(AND(Responses!$BE$4&gt;=45,Responses!$BE$4&lt;=100),"Y","–")))</x:f>
      </x:c>
      <x:c r="AX3" s="4" t="e">
        <x:f>IF(OR(AR3="",IF($B$3="X",AB3,L3)=""),"",ABS(AR3-IF($B$3="X",AB3,L3)))</x:f>
        <x:v>#N/A</x:v>
      </x:c>
      <x:c r="AY3" s="4" t="e">
        <x:f>IF(AX3="","",IF(AX3&gt;0.25,"X",IF(AX3=0,"Y","–")))</x:f>
        <x:v>#N/A</x:v>
      </x:c>
      <x:c r="AZ3" s="4" t="n">
        <x:f>(Responses!$AP$4=INDEX(VignetteKeys!$B$2:$B$3,MATCH($B$3,VignetteKeys!$A$2:$A$3,0)))*1+(Responses!$AQ$4=INDEX(VignetteKeys!$C$2:$C$3,MATCH($B$3,VignetteKeys!$A$2:$A$3,0)))*1+(Responses!$AR$4=INDEX(VignetteKeys!$D$2:$D$3,MATCH($B$3,VignetteKeys!$A$2:$A$3,0)))*1+(Responses!$AS$4=INDEX(VignetteKeys!$E$2:$E$3,MATCH($B$3,VignetteKeys!$A$2:$A$3,0)))*1</x:f>
        <x:v>4</x:v>
      </x:c>
      <x:c r="BA3" s="4" t="str">
        <x:f>IF(Responses!$AP$4="","",IF(OR(AND(Responses!$AP$4&lt;&gt;INDEX(VignetteKeys!$B$2:$B$3,MATCH($B$3,VignetteKeys!$A$2:$A$3,0)),Responses!$AQ$4&lt;&gt;INDEX(VignetteKeys!$C$2:$C$3,MATCH($B$3,VignetteKeys!$A$2:$A$3,0))),AND(Responses!$AR$4&lt;&gt;INDEX(VignetteKeys!$D$2:$D$3,MATCH($B$3,VignetteKeys!$A$2:$A$3,0)),Responses!$AS$4&lt;&gt;INDEX(VignetteKeys!$E$2:$E$3,MATCH($B$3,VignetteKeys!$A$2:$A$3,0)))),"X",IF(AZ3=4,"Y","–")))</x:f>
        <x:v>Y</x:v>
      </x:c>
      <x:c r="BB3" s="4" t="str">
        <x:f>IF(Responses!$AT$4="","",IF(Responses!$AT$4&lt;&gt;4,"X","Y"))</x:f>
        <x:v>Y</x:v>
      </x:c>
      <x:c r="BC3" s="4" t="n">
        <x:f>IF(COUNT(Responses!$AU$4:$BD$4)&lt;10,"",((Responses!$AU$4-1)+(Responses!$AW$4-1)+(Responses!$AY$4-1)+(Responses!$BA$4-1)+(Responses!$BC$4-1)+(5-Responses!$AV$4)+(5-Responses!$AX$4)+(5-Responses!$AZ$4)+(5-Responses!$BB$4)+(5-Responses!$BD$4))*2.5)</x:f>
        <x:v>80</x:v>
      </x:c>
      <x:c r="BD3" s="4" t="str">
        <x:f>IF(BC3="","",IF(BC3&lt;50,"X",IF(BC3&gt;=68,"Y","–")))</x:f>
        <x:v>Y</x:v>
      </x:c>
      <x:c r="BE3" s="4" t="e">
        <x:f>IF((IF(AND(I3&lt;&gt;"A",ISNUMBER(Responses!$Q$4)),1,0)+IF(AND(Q3&lt;&gt;"A",ISNUMBER(Responses!$W$4)),1,0)+IF(AND(Y3&lt;&gt;"A",ISNUMBER(Responses!$AC$4)),1,0)+IF(AND(AG3&lt;&gt;"A",ISNUMBER(Responses!$AI$4)),1,0)+IF(AND(AO3&lt;&gt;"A",ISNUMBER(Responses!$AO$4)),1,0))=0,"",ROUND((IF(AND(I3&lt;&gt;"A",ISNUMBER(Responses!$Q$4)),Responses!$Q$4,0)+IF(AND(Q3&lt;&gt;"A",ISNUMBER(Responses!$W$4)),Responses!$W$4,0)+IF(AND(Y3&lt;&gt;"A",ISNUMBER(Responses!$AC$4)),Responses!$AC$4,0)+IF(AND(AG3&lt;&gt;"A",ISNUMBER(Responses!$AI$4)),Responses!$AI$4,0)+IF(AND(AO3&lt;&gt;"A",ISNUMBER(Responses!$AO$4)),Responses!$AO$4,0))/(IF(AND(I3&lt;&gt;"A",ISNUMBER(Responses!$Q$4)),1,0)+IF(AND(Q3&lt;&gt;"A",ISNUMBER(Responses!$W$4)),1,0)+IF(AND(Y3&lt;&gt;"A",ISNUMBER(Responses!$AC$4)),1,0)+IF(AND(AG3&lt;&gt;"A",ISNUMBER(Responses!$AI$4)),1,0)+IF(AND(AO3&lt;&gt;"A",ISNUMBER(Responses!$AO$4)),1,0)),2))</x:f>
        <x:v>#N/A</x:v>
      </x:c>
      <x:c r="BF3" s="4" t="e">
        <x:f>IF((IF(AND(I3="A",ISNUMBER(Responses!$Q$4)),1,0)+IF(AND(Q3="A",ISNUMBER(Responses!$W$4)),1,0)+IF(AND(Y3="A",ISNUMBER(Responses!$AC$4)),1,0)+IF(AND(AG3="A",ISNUMBER(Responses!$AI$4)),1,0)+IF(AND(AO3="A",ISNUMBER(Responses!$AO$4)),1,0))=0,"",ROUND((IF(AND(I3="A",ISNUMBER(Responses!$Q$4)),Responses!$Q$4,0)+IF(AND(Q3="A",ISNUMBER(Responses!$W$4)),Responses!$W$4,0)+IF(AND(Y3="A",ISNUMBER(Responses!$AC$4)),Responses!$AC$4,0)+IF(AND(AG3="A",ISNUMBER(Responses!$AI$4)),Responses!$AI$4,0)+IF(AND(AO3="A",ISNUMBER(Responses!$AO$4)),Responses!$AO$4,0))/(IF(AND(I3="A",ISNUMBER(Responses!$Q$4)),1,0)+IF(AND(Q3="A",ISNUMBER(Responses!$W$4)),1,0)+IF(AND(Y3="A",ISNUMBER(Responses!$AC$4)),1,0)+IF(AND(AG3="A",ISNUMBER(Responses!$AI$4)),1,0)+IF(AND(AO3="A",ISNUMBER(Responses!$AO$4)),1,0)),2))</x:f>
        <x:v>#N/A</x:v>
      </x:c>
      <x:c r="BG3" s="4" t="e">
        <x:f>IF(OR(BE3="",BF3=""),"",IF(BF3-BE3&gt;=3,"X",IF(BE3&gt;=BF3,"Y","–")))</x:f>
        <x:v>#N/A</x:v>
      </x:c>
      <x:c r="BH3" s="4" t="e">
        <x:f>(D3="X")*1+(F3="X")*1+(H3="X")*1+(K3="X")*1+(N3="X")*1+(O3="X")*1+(P3="X")*1+(S3="X")*1+(V3="X")*1+(W3="X")*1+(X3="X")*1+(AA3="X")*1+(AD3="X")*1+(AE3="X")*1+(AF3="X")*1+(AI3="X")*1+(AL3="X")*1+(AM3="X")*1+(AN3="X")*1+(AQ3="X")*1+(AT3="X")*1+(AU3="X")*1+(AV3="X")*1+(AW3="X")*1+(AY3="X")*1+(BA3="X")*1+(BB3="X")*1+(BD3="X")*1+(BG3="X")*1</x:f>
        <x:v>#N/A</x:v>
      </x:c>
    </x:row>
    <x:row r="4">
      <x:c r="A4" s="4" t="str">
        <x:f>Responses!$A$5</x:f>
        <x:v>P03</x:v>
      </x:c>
      <x:c r="B4" s="4" t="str">
        <x:f>Responses!$B$5</x:f>
        <x:v>X</x:v>
      </x:c>
      <x:c r="C4" s="4" t="n">
        <x:f>SUM(Responses!$C$5,Responses!$D$5,Responses!$E$5)</x:f>
        <x:v>10</x:v>
      </x:c>
      <x:c r="D4" s="4" t="str">
        <x:f>IF(C4=0,"",IF(C4&lt;&gt;10,"X","Y"))</x:f>
        <x:v>Y</x:v>
      </x:c>
      <x:c r="E4" s="4" t="n">
        <x:f>IF(OR(Responses!$F$5="",Responses!$F$5&gt;6),"",MAX(ABS(Responses!$C$5-INDEX(Profiles!$C$2:$C$7,Responses!$F$5)),ABS(Responses!$D$5-INDEX(Profiles!$D$2:$D$7,Responses!$F$5)),ABS(Responses!$E$5-INDEX(Profiles!$E$2:$E$7,Responses!$F$5))))</x:f>
        <x:v>1</x:v>
      </x:c>
      <x:c r="F4" s="4" t="str">
        <x:f>IF(E4="","",IF(E4&gt;=4,"X",IF(E4&lt;=2,"Y","–")))</x:f>
        <x:v>Y</x:v>
      </x:c>
      <x:c r="G4" s="4" t="n">
        <x:f>(Responses!$G$5=2)*1+(Responses!$H$5=1)*1+(Responses!$I$5=2)*1+(Responses!$J$5=2)*1+(Responses!$K$5=2)*1</x:f>
        <x:v>5</x:v>
      </x:c>
      <x:c r="H4" s="4" t="str">
        <x:f>IF(Responses!$G$5="","",IF(G4&lt;=3,"X",IF(G4=5,"Y","–")))</x:f>
        <x:v>Y</x:v>
      </x:c>
      <x:c r="I4" s="4" t="str">
        <x:f>INDEX(Sequence!$D$2:$D$11,MATCH(1,INDEX((Sequence!$A$2:$A$11=$B$4)*(Sequence!$B$2:$B$11=1),0),0))</x:f>
        <x:v>A</x:v>
      </x:c>
      <x:c r="J4" s="4" t="n">
        <x:f>(Responses!$L$5=SUMIFS(Sequence!$E:$E,Sequence!$A:$A,$B$4,Sequence!$B:$B,1))*1+(Responses!$M$5=SUMIFS(Sequence!$F:$F,Sequence!$A:$A,$B$4,Sequence!$B:$B,1))*1+(Responses!$N$5=SUMIFS(Sequence!$G:$G,Sequence!$A:$A,$B$4,Sequence!$B:$B,1))*1</x:f>
        <x:v>3</x:v>
      </x:c>
      <x:c r="K4" s="4" t="str">
        <x:f>IF(Responses!$L$5="","",IF(J4&lt;=1,"X",IF(J4=3,"Y","–")))</x:f>
        <x:v>Y</x:v>
      </x:c>
      <x:c r="L4" s="4" t="str">
        <x:f>IF(OR(I4="A",Responses!$O$5=""),"",ROUND(_xlfn.MAXIFS(Data!$L$2:$L$26,Data!$B$2:$B$26,SUMIFS(Sequence!$C:$C,Sequence!$A:$A,$B$4,Sequence!$B:$B,1),Data!$H$2:$H$26,1)-SUMIFS(Data!$L$2:$L$26,Data!$A$2:$A$26,SUMIFS(Sequence!$C:$C,Sequence!$A:$A,$B$4,Sequence!$B:$B,1)&amp;"|"&amp;IF(I4="R",INDEX(Repetition!$D$2:$D$20,MATCH($B$4&amp;"|"&amp;Responses!$O$5,Repetition!$A$2:$A$20,0)),Responses!$O$5)),3))</x:f>
      </x:c>
      <x:c r="M4" s="4" t="str">
        <x:f>IF(I4="A","",ROUND(_xlfn.MAXIFS(Data!$L$2:$L$26,Data!$B$2:$B$26,SUMIFS(Sequence!$C:$C,Sequence!$A:$A,$B$4,Sequence!$B:$B,1),Data!$H$2:$H$26,1)-SUMIFS(Data!$L$2:$L$26,Data!$A$2:$A$26,SUMIFS(Sequence!$C:$C,Sequence!$A:$A,$B$4,Sequence!$B:$B,1)&amp;"|"&amp;"N"),3))</x:f>
      </x:c>
      <x:c r="N4" s="4" t="str">
        <x:f>IF(L4="","",IF(OR(L4&gt;=0.5,AND(M4&gt;0.1,L4&gt;=M4)),"X",IF(L4&lt;=0.1,"Y","–")))</x:f>
      </x:c>
      <x:c r="O4" s="4" t="str">
        <x:f>IF(OR(I4="A",Responses!$P$5="",Responses!$P$5=0),"",IF(_xlfn.MAXIFS(Data!$L$2:$L$26,Data!$B$2:$B$26,SUMIFS(Sequence!$C:$C,Sequence!$A:$A,$B$4,Sequence!$B:$B,1),Data!$I$2:$I$26,1)-SUMIFS(Data!$L$2:$L$26,Data!$A$2:$A$26,SUMIFS(Sequence!$C:$C,Sequence!$A:$A,$B$4,Sequence!$B:$B,1)&amp;"|"&amp;INDEX(Selector!$D$2:$D$37,MATCH(SUMIFS(Sequence!$C:$C,Sequence!$A:$A,$B$4,Sequence!$B:$B,1)*100+ROUND(Responses!$P$5*10,0),Selector!$A$2:$A$37,0)))&gt;=0.3,"X",IF(_xlfn.MAXIFS(Data!$L$2:$L$26,Data!$B$2:$B$26,SUMIFS(Sequence!$C:$C,Sequence!$A:$A,$B$4,Sequence!$B:$B,1),Data!$I$2:$I$26,1)-SUMIFS(Data!$L$2:$L$26,Data!$A$2:$A$26,SUMIFS(Sequence!$C:$C,Sequence!$A:$A,$B$4,Sequence!$B:$B,1)&amp;"|"&amp;INDEX(Selector!$D$2:$D$37,MATCH(SUMIFS(Sequence!$C:$C,Sequence!$A:$A,$B$4,Sequence!$B:$B,1)*100+ROUND(Responses!$P$5*10,0),Selector!$A$2:$A$37,0)))&lt;=0.05,"Y","–")))</x:f>
      </x:c>
      <x:c r="P4" s="4" t="str">
        <x:f>IF(OR(I4&lt;&gt;"A",Responses!$O$5=""),"",IF(AND(Responses!$O$5=1,Responses!$Q$5&gt;=6,Responses!$D$5+Responses!$E$5&gt;=6),"X",IF(OR(AND(Responses!$O$5&gt;=2,Responses!$D$5+Responses!$E$5&gt;=6),AND(Responses!$O$5=1,Responses!$C$5&gt;=7)),"Y","–")))</x:f>
        <x:v>X</x:v>
      </x:c>
      <x:c r="Q4" s="4" t="e">
        <x:f>INDEX(Sequence!$D$2:$D$11,MATCH(1,INDEX((Sequence!$A$2:$A$11=$B$4)*(Sequence!$B$2:$B$11=2),0),0))</x:f>
        <x:v>#N/A</x:v>
      </x:c>
      <x:c r="R4" s="4" t="n">
        <x:f>(Responses!$R$5=SUMIFS(Sequence!$E:$E,Sequence!$A:$A,$B$4,Sequence!$B:$B,2))*1+(Responses!$S$5=SUMIFS(Sequence!$F:$F,Sequence!$A:$A,$B$4,Sequence!$B:$B,2))*1+(Responses!$T$5=SUMIFS(Sequence!$G:$G,Sequence!$A:$A,$B$4,Sequence!$B:$B,2))*1</x:f>
        <x:v>3</x:v>
      </x:c>
      <x:c r="S4" s="4" t="str">
        <x:f>IF(Responses!$R$5="","",IF(R4&lt;=1,"X",IF(R4=3,"Y","–")))</x:f>
        <x:v>Y</x:v>
      </x:c>
      <x:c r="T4" s="4" t="e">
        <x:f>IF(OR(Q4="A",Responses!$U$5=""),"",ROUND(_xlfn.MAXIFS(Data!$L$2:$L$26,Data!$B$2:$B$26,SUMIFS(Sequence!$C:$C,Sequence!$A:$A,$B$4,Sequence!$B:$B,2),Data!$H$2:$H$26,1)-SUMIFS(Data!$L$2:$L$26,Data!$A$2:$A$26,SUMIFS(Sequence!$C:$C,Sequence!$A:$A,$B$4,Sequence!$B:$B,2)&amp;"|"&amp;IF(Q4="R",INDEX(Repetition!$D$2:$D$20,MATCH($B$4&amp;"|"&amp;Responses!$U$5,Repetition!$A$2:$A$20,0)),Responses!$U$5)),3))</x:f>
        <x:v>#N/A</x:v>
      </x:c>
      <x:c r="U4" s="4" t="e">
        <x:f>IF(Q4="A","",ROUND(_xlfn.MAXIFS(Data!$L$2:$L$26,Data!$B$2:$B$26,SUMIFS(Sequence!$C:$C,Sequence!$A:$A,$B$4,Sequence!$B:$B,2),Data!$H$2:$H$26,1)-SUMIFS(Data!$L$2:$L$26,Data!$A$2:$A$26,SUMIFS(Sequence!$C:$C,Sequence!$A:$A,$B$4,Sequence!$B:$B,2)&amp;"|"&amp;"N"),3))</x:f>
        <x:v>#N/A</x:v>
      </x:c>
      <x:c r="V4" s="4" t="e">
        <x:f>IF(T4="","",IF(OR(T4&gt;=0.5,AND(U4&gt;0.1,T4&gt;=U4)),"X",IF(T4&lt;=0.1,"Y","–")))</x:f>
        <x:v>#N/A</x:v>
      </x:c>
      <x:c r="W4" s="4" t="e">
        <x:f>IF(OR(Q4="A",Responses!$V$5="",Responses!$V$5=0),"",IF(_xlfn.MAXIFS(Data!$L$2:$L$26,Data!$B$2:$B$26,SUMIFS(Sequence!$C:$C,Sequence!$A:$A,$B$4,Sequence!$B:$B,2),Data!$I$2:$I$26,1)-SUMIFS(Data!$L$2:$L$26,Data!$A$2:$A$26,SUMIFS(Sequence!$C:$C,Sequence!$A:$A,$B$4,Sequence!$B:$B,2)&amp;"|"&amp;INDEX(Selector!$D$2:$D$37,MATCH(SUMIFS(Sequence!$C:$C,Sequence!$A:$A,$B$4,Sequence!$B:$B,2)*100+ROUND(Responses!$V$5*10,0),Selector!$A$2:$A$37,0)))&gt;=0.3,"X",IF(_xlfn.MAXIFS(Data!$L$2:$L$26,Data!$B$2:$B$26,SUMIFS(Sequence!$C:$C,Sequence!$A:$A,$B$4,Sequence!$B:$B,2),Data!$I$2:$I$26,1)-SUMIFS(Data!$L$2:$L$26,Data!$A$2:$A$26,SUMIFS(Sequence!$C:$C,Sequence!$A:$A,$B$4,Sequence!$B:$B,2)&amp;"|"&amp;INDEX(Selector!$D$2:$D$37,MATCH(SUMIFS(Sequence!$C:$C,Sequence!$A:$A,$B$4,Sequence!$B:$B,2)*100+ROUND(Responses!$V$5*10,0),Selector!$A$2:$A$37,0)))&lt;=0.05,"Y","–")))</x:f>
        <x:v>#N/A</x:v>
      </x:c>
      <x:c r="X4" s="4" t="e">
        <x:f>IF(OR(Q4&lt;&gt;"A",Responses!$U$5=""),"",IF(AND(Responses!$U$5=1,Responses!$W$5&gt;=6,Responses!$D$5+Responses!$E$5&gt;=6),"X",IF(OR(AND(Responses!$U$5&gt;=2,Responses!$D$5+Responses!$E$5&gt;=6),AND(Responses!$U$5=1,Responses!$C$5&gt;=7)),"Y","–")))</x:f>
        <x:v>#N/A</x:v>
      </x:c>
      <x:c r="Y4" s="4" t="e">
        <x:f>INDEX(Sequence!$D$2:$D$11,MATCH(1,INDEX((Sequence!$A$2:$A$11=$B$4)*(Sequence!$B$2:$B$11=3),0),0))</x:f>
        <x:v>#N/A</x:v>
      </x:c>
      <x:c r="Z4" s="4" t="n">
        <x:f>(Responses!$X$5=SUMIFS(Sequence!$E:$E,Sequence!$A:$A,$B$4,Sequence!$B:$B,3))*1+(Responses!$Y$5=SUMIFS(Sequence!$F:$F,Sequence!$A:$A,$B$4,Sequence!$B:$B,3))*1+(Responses!$Z$5=SUMIFS(Sequence!$G:$G,Sequence!$A:$A,$B$4,Sequence!$B:$B,3))*1</x:f>
        <x:v>2</x:v>
      </x:c>
      <x:c r="AA4" s="4" t="str">
        <x:f>IF(Responses!$X$5="","",IF(Z4&lt;=1,"X",IF(Z4=3,"Y","–")))</x:f>
        <x:v>–</x:v>
      </x:c>
      <x:c r="AB4" s="4" t="e">
        <x:f>IF(OR(Y4="A",Responses!$AA$5=""),"",ROUND(_xlfn.MAXIFS(Data!$L$2:$L$26,Data!$B$2:$B$26,SUMIFS(Sequence!$C:$C,Sequence!$A:$A,$B$4,Sequence!$B:$B,3),Data!$H$2:$H$26,1)-SUMIFS(Data!$L$2:$L$26,Data!$A$2:$A$26,SUMIFS(Sequence!$C:$C,Sequence!$A:$A,$B$4,Sequence!$B:$B,3)&amp;"|"&amp;IF(Y4="R",INDEX(Repetition!$D$2:$D$20,MATCH($B$4&amp;"|"&amp;Responses!$AA$5,Repetition!$A$2:$A$20,0)),Responses!$AA$5)),3))</x:f>
        <x:v>#N/A</x:v>
      </x:c>
      <x:c r="AC4" s="4" t="e">
        <x:f>IF(Y4="A","",ROUND(_xlfn.MAXIFS(Data!$L$2:$L$26,Data!$B$2:$B$26,SUMIFS(Sequence!$C:$C,Sequence!$A:$A,$B$4,Sequence!$B:$B,3),Data!$H$2:$H$26,1)-SUMIFS(Data!$L$2:$L$26,Data!$A$2:$A$26,SUMIFS(Sequence!$C:$C,Sequence!$A:$A,$B$4,Sequence!$B:$B,3)&amp;"|"&amp;"N"),3))</x:f>
        <x:v>#N/A</x:v>
      </x:c>
      <x:c r="AD4" s="4" t="e">
        <x:f>IF(AB4="","",IF(OR(AB4&gt;=0.5,AND(AC4&gt;0.1,AB4&gt;=AC4)),"X",IF(AB4&lt;=0.1,"Y","–")))</x:f>
        <x:v>#N/A</x:v>
      </x:c>
      <x:c r="AE4" s="4" t="e">
        <x:f>IF(OR(Y4="A",Responses!$AB$5="",Responses!$AB$5=0),"",IF(_xlfn.MAXIFS(Data!$L$2:$L$26,Data!$B$2:$B$26,SUMIFS(Sequence!$C:$C,Sequence!$A:$A,$B$4,Sequence!$B:$B,3),Data!$I$2:$I$26,1)-SUMIFS(Data!$L$2:$L$26,Data!$A$2:$A$26,SUMIFS(Sequence!$C:$C,Sequence!$A:$A,$B$4,Sequence!$B:$B,3)&amp;"|"&amp;INDEX(Selector!$D$2:$D$37,MATCH(SUMIFS(Sequence!$C:$C,Sequence!$A:$A,$B$4,Sequence!$B:$B,3)*100+ROUND(Responses!$AB$5*10,0),Selector!$A$2:$A$37,0)))&gt;=0.3,"X",IF(_xlfn.MAXIFS(Data!$L$2:$L$26,Data!$B$2:$B$26,SUMIFS(Sequence!$C:$C,Sequence!$A:$A,$B$4,Sequence!$B:$B,3),Data!$I$2:$I$26,1)-SUMIFS(Data!$L$2:$L$26,Data!$A$2:$A$26,SUMIFS(Sequence!$C:$C,Sequence!$A:$A,$B$4,Sequence!$B:$B,3)&amp;"|"&amp;INDEX(Selector!$D$2:$D$37,MATCH(SUMIFS(Sequence!$C:$C,Sequence!$A:$A,$B$4,Sequence!$B:$B,3)*100+ROUND(Responses!$AB$5*10,0),Selector!$A$2:$A$37,0)))&lt;=0.05,"Y","–")))</x:f>
        <x:v>#N/A</x:v>
      </x:c>
      <x:c r="AF4" s="4" t="e">
        <x:f>IF(OR(Y4&lt;&gt;"A",Responses!$AA$5=""),"",IF(AND(Responses!$AA$5=1,Responses!$AC$5&gt;=6,Responses!$D$5+Responses!$E$5&gt;=6),"X",IF(OR(AND(Responses!$AA$5&gt;=2,Responses!$D$5+Responses!$E$5&gt;=6),AND(Responses!$AA$5=1,Responses!$C$5&gt;=7)),"Y","–")))</x:f>
        <x:v>#N/A</x:v>
      </x:c>
      <x:c r="AG4" s="4" t="e">
        <x:f>INDEX(Sequence!$D$2:$D$11,MATCH(1,INDEX((Sequence!$A$2:$A$11=$B$4)*(Sequence!$B$2:$B$11=4),0),0))</x:f>
        <x:v>#N/A</x:v>
      </x:c>
      <x:c r="AH4" s="4" t="n">
        <x:f>(Responses!$AD$5=SUMIFS(Sequence!$E:$E,Sequence!$A:$A,$B$4,Sequence!$B:$B,4))*1+(Responses!$AE$5=SUMIFS(Sequence!$F:$F,Sequence!$A:$A,$B$4,Sequence!$B:$B,4))*1+(Responses!$AF$5=SUMIFS(Sequence!$G:$G,Sequence!$A:$A,$B$4,Sequence!$B:$B,4))*1</x:f>
        <x:v>2</x:v>
      </x:c>
      <x:c r="AI4" s="4" t="str">
        <x:f>IF(Responses!$AD$5="","",IF(AH4&lt;=1,"X",IF(AH4=3,"Y","–")))</x:f>
        <x:v>–</x:v>
      </x:c>
      <x:c r="AJ4" s="4" t="e">
        <x:f>IF(OR(AG4="A",Responses!$AG$5=""),"",ROUND(_xlfn.MAXIFS(Data!$L$2:$L$26,Data!$B$2:$B$26,SUMIFS(Sequence!$C:$C,Sequence!$A:$A,$B$4,Sequence!$B:$B,4),Data!$H$2:$H$26,1)-SUMIFS(Data!$L$2:$L$26,Data!$A$2:$A$26,SUMIFS(Sequence!$C:$C,Sequence!$A:$A,$B$4,Sequence!$B:$B,4)&amp;"|"&amp;IF(AG4="R",INDEX(Repetition!$D$2:$D$20,MATCH($B$4&amp;"|"&amp;Responses!$AG$5,Repetition!$A$2:$A$20,0)),Responses!$AG$5)),3))</x:f>
        <x:v>#N/A</x:v>
      </x:c>
      <x:c r="AK4" s="4" t="e">
        <x:f>IF(AG4="A","",ROUND(_xlfn.MAXIFS(Data!$L$2:$L$26,Data!$B$2:$B$26,SUMIFS(Sequence!$C:$C,Sequence!$A:$A,$B$4,Sequence!$B:$B,4),Data!$H$2:$H$26,1)-SUMIFS(Data!$L$2:$L$26,Data!$A$2:$A$26,SUMIFS(Sequence!$C:$C,Sequence!$A:$A,$B$4,Sequence!$B:$B,4)&amp;"|"&amp;"N"),3))</x:f>
        <x:v>#N/A</x:v>
      </x:c>
      <x:c r="AL4" s="4" t="e">
        <x:f>IF(AJ4="","",IF(OR(AJ4&gt;=0.5,AND(AK4&gt;0.1,AJ4&gt;=AK4)),"X",IF(AJ4&lt;=0.1,"Y","–")))</x:f>
        <x:v>#N/A</x:v>
      </x:c>
      <x:c r="AM4" s="4" t="e">
        <x:f>IF(OR(AG4="A",Responses!$AH$5="",Responses!$AH$5=0),"",IF(_xlfn.MAXIFS(Data!$L$2:$L$26,Data!$B$2:$B$26,SUMIFS(Sequence!$C:$C,Sequence!$A:$A,$B$4,Sequence!$B:$B,4),Data!$I$2:$I$26,1)-SUMIFS(Data!$L$2:$L$26,Data!$A$2:$A$26,SUMIFS(Sequence!$C:$C,Sequence!$A:$A,$B$4,Sequence!$B:$B,4)&amp;"|"&amp;INDEX(Selector!$D$2:$D$37,MATCH(SUMIFS(Sequence!$C:$C,Sequence!$A:$A,$B$4,Sequence!$B:$B,4)*100+ROUND(Responses!$AH$5*10,0),Selector!$A$2:$A$37,0)))&gt;=0.3,"X",IF(_xlfn.MAXIFS(Data!$L$2:$L$26,Data!$B$2:$B$26,SUMIFS(Sequence!$C:$C,Sequence!$A:$A,$B$4,Sequence!$B:$B,4),Data!$I$2:$I$26,1)-SUMIFS(Data!$L$2:$L$26,Data!$A$2:$A$26,SUMIFS(Sequence!$C:$C,Sequence!$A:$A,$B$4,Sequence!$B:$B,4)&amp;"|"&amp;INDEX(Selector!$D$2:$D$37,MATCH(SUMIFS(Sequence!$C:$C,Sequence!$A:$A,$B$4,Sequence!$B:$B,4)*100+ROUND(Responses!$AH$5*10,0),Selector!$A$2:$A$37,0)))&lt;=0.05,"Y","–")))</x:f>
        <x:v>#N/A</x:v>
      </x:c>
      <x:c r="AN4" s="4" t="e">
        <x:f>IF(OR(AG4&lt;&gt;"A",Responses!$AG$5=""),"",IF(AND(Responses!$AG$5=1,Responses!$AI$5&gt;=6,Responses!$D$5+Responses!$E$5&gt;=6),"X",IF(OR(AND(Responses!$AG$5&gt;=2,Responses!$D$5+Responses!$E$5&gt;=6),AND(Responses!$AG$5=1,Responses!$C$5&gt;=7)),"Y","–")))</x:f>
        <x:v>#N/A</x:v>
      </x:c>
      <x:c r="AO4" s="4" t="e">
        <x:f>INDEX(Sequence!$D$2:$D$11,MATCH(1,INDEX((Sequence!$A$2:$A$11=$B$4)*(Sequence!$B$2:$B$11=5),0),0))</x:f>
        <x:v>#N/A</x:v>
      </x:c>
      <x:c r="AP4" s="4" t="n">
        <x:f>(Responses!$AJ$5=SUMIFS(Sequence!$E:$E,Sequence!$A:$A,$B$4,Sequence!$B:$B,5))*1+(Responses!$AK$5=SUMIFS(Sequence!$F:$F,Sequence!$A:$A,$B$4,Sequence!$B:$B,5))*1+(Responses!$AL$5=SUMIFS(Sequence!$G:$G,Sequence!$A:$A,$B$4,Sequence!$B:$B,5))*1</x:f>
        <x:v>2</x:v>
      </x:c>
      <x:c r="AQ4" s="4" t="str">
        <x:f>IF(Responses!$AJ$5="","",IF(AP4&lt;=1,"X",IF(AP4=3,"Y","–")))</x:f>
        <x:v>–</x:v>
      </x:c>
      <x:c r="AR4" s="4" t="e">
        <x:f>IF(OR(AO4="A",Responses!$AM$5=""),"",ROUND(_xlfn.MAXIFS(Data!$L$2:$L$26,Data!$B$2:$B$26,SUMIFS(Sequence!$C:$C,Sequence!$A:$A,$B$4,Sequence!$B:$B,5),Data!$H$2:$H$26,1)-SUMIFS(Data!$L$2:$L$26,Data!$A$2:$A$26,SUMIFS(Sequence!$C:$C,Sequence!$A:$A,$B$4,Sequence!$B:$B,5)&amp;"|"&amp;IF(AO4="R",INDEX(Repetition!$D$2:$D$20,MATCH($B$4&amp;"|"&amp;Responses!$AM$5,Repetition!$A$2:$A$20,0)),Responses!$AM$5)),3))</x:f>
        <x:v>#N/A</x:v>
      </x:c>
      <x:c r="AS4" s="4" t="e">
        <x:f>IF(AO4="A","",ROUND(_xlfn.MAXIFS(Data!$L$2:$L$26,Data!$B$2:$B$26,SUMIFS(Sequence!$C:$C,Sequence!$A:$A,$B$4,Sequence!$B:$B,5),Data!$H$2:$H$26,1)-SUMIFS(Data!$L$2:$L$26,Data!$A$2:$A$26,SUMIFS(Sequence!$C:$C,Sequence!$A:$A,$B$4,Sequence!$B:$B,5)&amp;"|"&amp;"N"),3))</x:f>
        <x:v>#N/A</x:v>
      </x:c>
      <x:c r="AT4" s="4" t="e">
        <x:f>IF(AR4="","",IF(OR(AR4&gt;=0.5,AND(AS4&gt;0.1,AR4&gt;=AS4)),"X",IF(AR4&lt;=0.1,"Y","–")))</x:f>
        <x:v>#N/A</x:v>
      </x:c>
      <x:c r="AU4" s="4" t="e">
        <x:f>IF(OR(AO4="A",Responses!$AN$5="",Responses!$AN$5=0),"",IF(_xlfn.MAXIFS(Data!$L$2:$L$26,Data!$B$2:$B$26,SUMIFS(Sequence!$C:$C,Sequence!$A:$A,$B$4,Sequence!$B:$B,5),Data!$I$2:$I$26,1)-SUMIFS(Data!$L$2:$L$26,Data!$A$2:$A$26,SUMIFS(Sequence!$C:$C,Sequence!$A:$A,$B$4,Sequence!$B:$B,5)&amp;"|"&amp;INDEX(Selector!$D$2:$D$37,MATCH(SUMIFS(Sequence!$C:$C,Sequence!$A:$A,$B$4,Sequence!$B:$B,5)*100+ROUND(Responses!$AN$5*10,0),Selector!$A$2:$A$37,0)))&gt;=0.3,"X",IF(_xlfn.MAXIFS(Data!$L$2:$L$26,Data!$B$2:$B$26,SUMIFS(Sequence!$C:$C,Sequence!$A:$A,$B$4,Sequence!$B:$B,5),Data!$I$2:$I$26,1)-SUMIFS(Data!$L$2:$L$26,Data!$A$2:$A$26,SUMIFS(Sequence!$C:$C,Sequence!$A:$A,$B$4,Sequence!$B:$B,5)&amp;"|"&amp;INDEX(Selector!$D$2:$D$37,MATCH(SUMIFS(Sequence!$C:$C,Sequence!$A:$A,$B$4,Sequence!$B:$B,5)*100+ROUND(Responses!$AN$5*10,0),Selector!$A$2:$A$37,0)))&lt;=0.05,"Y","–")))</x:f>
        <x:v>#N/A</x:v>
      </x:c>
      <x:c r="AV4" s="4" t="e">
        <x:f>IF(OR(AO4&lt;&gt;"A",Responses!$AM$5=""),"",IF(AND(Responses!$AM$5=1,Responses!$AO$5&gt;=6,Responses!$D$5+Responses!$E$5&gt;=6),"X",IF(OR(AND(Responses!$AM$5&gt;=2,Responses!$D$5+Responses!$E$5&gt;=6),AND(Responses!$AM$5=1,Responses!$C$5&gt;=7)),"Y","–")))</x:f>
        <x:v>#N/A</x:v>
      </x:c>
      <x:c r="AW4" s="4" t="str">
        <x:f>IF(Responses!$BE$5="","",IF(OR(Responses!$BE$5&lt;25,Responses!$BE$5&gt;150),"X",IF(AND(Responses!$BE$5&gt;=45,Responses!$BE$5&lt;=100),"Y","–")))</x:f>
      </x:c>
      <x:c r="AX4" s="4" t="e">
        <x:f>IF(OR(AR4="",IF($B$4="X",AB4,L4)=""),"",ABS(AR4-IF($B$4="X",AB4,L4)))</x:f>
        <x:v>#N/A</x:v>
      </x:c>
      <x:c r="AY4" s="4" t="e">
        <x:f>IF(AX4="","",IF(AX4&gt;0.25,"X",IF(AX4=0,"Y","–")))</x:f>
        <x:v>#N/A</x:v>
      </x:c>
      <x:c r="AZ4" s="4" t="n">
        <x:f>(Responses!$AP$5=INDEX(VignetteKeys!$B$2:$B$3,MATCH($B$4,VignetteKeys!$A$2:$A$3,0)))*1+(Responses!$AQ$5=INDEX(VignetteKeys!$C$2:$C$3,MATCH($B$4,VignetteKeys!$A$2:$A$3,0)))*1+(Responses!$AR$5=INDEX(VignetteKeys!$D$2:$D$3,MATCH($B$4,VignetteKeys!$A$2:$A$3,0)))*1+(Responses!$AS$5=INDEX(VignetteKeys!$E$2:$E$3,MATCH($B$4,VignetteKeys!$A$2:$A$3,0)))*1</x:f>
        <x:v>3</x:v>
      </x:c>
      <x:c r="BA4" s="4" t="str">
        <x:f>IF(Responses!$AP$5="","",IF(OR(AND(Responses!$AP$5&lt;&gt;INDEX(VignetteKeys!$B$2:$B$3,MATCH($B$4,VignetteKeys!$A$2:$A$3,0)),Responses!$AQ$5&lt;&gt;INDEX(VignetteKeys!$C$2:$C$3,MATCH($B$4,VignetteKeys!$A$2:$A$3,0))),AND(Responses!$AR$5&lt;&gt;INDEX(VignetteKeys!$D$2:$D$3,MATCH($B$4,VignetteKeys!$A$2:$A$3,0)),Responses!$AS$5&lt;&gt;INDEX(VignetteKeys!$E$2:$E$3,MATCH($B$4,VignetteKeys!$A$2:$A$3,0)))),"X",IF(AZ4=4,"Y","–")))</x:f>
        <x:v>–</x:v>
      </x:c>
      <x:c r="BB4" s="4" t="str">
        <x:f>IF(Responses!$AT$5="","",IF(Responses!$AT$5&lt;&gt;4,"X","Y"))</x:f>
        <x:v>Y</x:v>
      </x:c>
      <x:c r="BC4" s="4" t="n">
        <x:f>IF(COUNT(Responses!$AU$5:$BD$5)&lt;10,"",((Responses!$AU$5-1)+(Responses!$AW$5-1)+(Responses!$AY$5-1)+(Responses!$BA$5-1)+(Responses!$BC$5-1)+(5-Responses!$AV$5)+(5-Responses!$AX$5)+(5-Responses!$AZ$5)+(5-Responses!$BB$5)+(5-Responses!$BD$5))*2.5)</x:f>
        <x:v>75</x:v>
      </x:c>
      <x:c r="BD4" s="4" t="str">
        <x:f>IF(BC4="","",IF(BC4&lt;50,"X",IF(BC4&gt;=68,"Y","–")))</x:f>
        <x:v>Y</x:v>
      </x:c>
      <x:c r="BE4" s="4" t="e">
        <x:f>IF((IF(AND(I4&lt;&gt;"A",ISNUMBER(Responses!$Q$5)),1,0)+IF(AND(Q4&lt;&gt;"A",ISNUMBER(Responses!$W$5)),1,0)+IF(AND(Y4&lt;&gt;"A",ISNUMBER(Responses!$AC$5)),1,0)+IF(AND(AG4&lt;&gt;"A",ISNUMBER(Responses!$AI$5)),1,0)+IF(AND(AO4&lt;&gt;"A",ISNUMBER(Responses!$AO$5)),1,0))=0,"",ROUND((IF(AND(I4&lt;&gt;"A",ISNUMBER(Responses!$Q$5)),Responses!$Q$5,0)+IF(AND(Q4&lt;&gt;"A",ISNUMBER(Responses!$W$5)),Responses!$W$5,0)+IF(AND(Y4&lt;&gt;"A",ISNUMBER(Responses!$AC$5)),Responses!$AC$5,0)+IF(AND(AG4&lt;&gt;"A",ISNUMBER(Responses!$AI$5)),Responses!$AI$5,0)+IF(AND(AO4&lt;&gt;"A",ISNUMBER(Responses!$AO$5)),Responses!$AO$5,0))/(IF(AND(I4&lt;&gt;"A",ISNUMBER(Responses!$Q$5)),1,0)+IF(AND(Q4&lt;&gt;"A",ISNUMBER(Responses!$W$5)),1,0)+IF(AND(Y4&lt;&gt;"A",ISNUMBER(Responses!$AC$5)),1,0)+IF(AND(AG4&lt;&gt;"A",ISNUMBER(Responses!$AI$5)),1,0)+IF(AND(AO4&lt;&gt;"A",ISNUMBER(Responses!$AO$5)),1,0)),2))</x:f>
        <x:v>#N/A</x:v>
      </x:c>
      <x:c r="BF4" s="4" t="e">
        <x:f>IF((IF(AND(I4="A",ISNUMBER(Responses!$Q$5)),1,0)+IF(AND(Q4="A",ISNUMBER(Responses!$W$5)),1,0)+IF(AND(Y4="A",ISNUMBER(Responses!$AC$5)),1,0)+IF(AND(AG4="A",ISNUMBER(Responses!$AI$5)),1,0)+IF(AND(AO4="A",ISNUMBER(Responses!$AO$5)),1,0))=0,"",ROUND((IF(AND(I4="A",ISNUMBER(Responses!$Q$5)),Responses!$Q$5,0)+IF(AND(Q4="A",ISNUMBER(Responses!$W$5)),Responses!$W$5,0)+IF(AND(Y4="A",ISNUMBER(Responses!$AC$5)),Responses!$AC$5,0)+IF(AND(AG4="A",ISNUMBER(Responses!$AI$5)),Responses!$AI$5,0)+IF(AND(AO4="A",ISNUMBER(Responses!$AO$5)),Responses!$AO$5,0))/(IF(AND(I4="A",ISNUMBER(Responses!$Q$5)),1,0)+IF(AND(Q4="A",ISNUMBER(Responses!$W$5)),1,0)+IF(AND(Y4="A",ISNUMBER(Responses!$AC$5)),1,0)+IF(AND(AG4="A",ISNUMBER(Responses!$AI$5)),1,0)+IF(AND(AO4="A",ISNUMBER(Responses!$AO$5)),1,0)),2))</x:f>
        <x:v>#N/A</x:v>
      </x:c>
      <x:c r="BG4" s="4" t="e">
        <x:f>IF(OR(BE4="",BF4=""),"",IF(BF4-BE4&gt;=3,"X",IF(BE4&gt;=BF4,"Y","–")))</x:f>
        <x:v>#N/A</x:v>
      </x:c>
      <x:c r="BH4" s="4" t="e">
        <x:f>(D4="X")*1+(F4="X")*1+(H4="X")*1+(K4="X")*1+(N4="X")*1+(O4="X")*1+(P4="X")*1+(S4="X")*1+(V4="X")*1+(W4="X")*1+(X4="X")*1+(AA4="X")*1+(AD4="X")*1+(AE4="X")*1+(AF4="X")*1+(AI4="X")*1+(AL4="X")*1+(AM4="X")*1+(AN4="X")*1+(AQ4="X")*1+(AT4="X")*1+(AU4="X")*1+(AV4="X")*1+(AW4="X")*1+(AY4="X")*1+(BA4="X")*1+(BB4="X")*1+(BD4="X")*1+(BG4="X")*1</x:f>
        <x:v>#N/A</x:v>
      </x:c>
    </x:row>
    <x:row r="5">
      <x:c r="A5" s="4" t="str">
        <x:f>Responses!$A$6</x:f>
        <x:v>P04</x:v>
      </x:c>
      <x:c r="B5" s="4" t="str">
        <x:f>Responses!$B$6</x:f>
        <x:v>Y</x:v>
      </x:c>
      <x:c r="C5" s="4" t="n">
        <x:f>SUM(Responses!$C$6,Responses!$D$6,Responses!$E$6)</x:f>
        <x:v>10</x:v>
      </x:c>
      <x:c r="D5" s="4" t="str">
        <x:f>IF(C5=0,"",IF(C5&lt;&gt;10,"X","Y"))</x:f>
        <x:v>Y</x:v>
      </x:c>
      <x:c r="E5" s="4" t="n">
        <x:f>IF(OR(Responses!$F$6="",Responses!$F$6&gt;6),"",MAX(ABS(Responses!$C$6-INDEX(Profiles!$C$2:$C$7,Responses!$F$6)),ABS(Responses!$D$6-INDEX(Profiles!$D$2:$D$7,Responses!$F$6)),ABS(Responses!$E$6-INDEX(Profiles!$E$2:$E$7,Responses!$F$6))))</x:f>
        <x:v>4</x:v>
      </x:c>
      <x:c r="F5" s="4" t="str">
        <x:f>IF(E5="","",IF(E5&gt;=4,"X",IF(E5&lt;=2,"Y","–")))</x:f>
        <x:v>X</x:v>
      </x:c>
      <x:c r="G5" s="4" t="n">
        <x:f>(Responses!$G$6=2)*1+(Responses!$H$6=1)*1+(Responses!$I$6=2)*1+(Responses!$J$6=2)*1+(Responses!$K$6=2)*1</x:f>
        <x:v>5</x:v>
      </x:c>
      <x:c r="H5" s="4" t="str">
        <x:f>IF(Responses!$G$6="","",IF(G5&lt;=3,"X",IF(G5=5,"Y","–")))</x:f>
        <x:v>Y</x:v>
      </x:c>
      <x:c r="I5" s="4" t="e">
        <x:f>INDEX(Sequence!$D$2:$D$11,MATCH(1,INDEX((Sequence!$A$2:$A$11=$B$5)*(Sequence!$B$2:$B$11=1),0),0))</x:f>
        <x:v>#N/A</x:v>
      </x:c>
      <x:c r="J5" s="4" t="n">
        <x:f>(Responses!$L$6=SUMIFS(Sequence!$E:$E,Sequence!$A:$A,$B$5,Sequence!$B:$B,1))*1+(Responses!$M$6=SUMIFS(Sequence!$F:$F,Sequence!$A:$A,$B$5,Sequence!$B:$B,1))*1+(Responses!$N$6=SUMIFS(Sequence!$G:$G,Sequence!$A:$A,$B$5,Sequence!$B:$B,1))*1</x:f>
        <x:v>3</x:v>
      </x:c>
      <x:c r="K5" s="4" t="str">
        <x:f>IF(Responses!$L$6="","",IF(J5&lt;=1,"X",IF(J5=3,"Y","–")))</x:f>
        <x:v>Y</x:v>
      </x:c>
      <x:c r="L5" s="4" t="e">
        <x:f>IF(OR(I5="A",Responses!$O$6=""),"",ROUND(_xlfn.MAXIFS(Data!$M$2:$M$26,Data!$B$2:$B$26,SUMIFS(Sequence!$C:$C,Sequence!$A:$A,$B$5,Sequence!$B:$B,1),Data!$H$2:$H$26,1)-SUMIFS(Data!$M$2:$M$26,Data!$A$2:$A$26,SUMIFS(Sequence!$C:$C,Sequence!$A:$A,$B$5,Sequence!$B:$B,1)&amp;"|"&amp;IF(I5="R",INDEX(Repetition!$D$2:$D$20,MATCH($B$5&amp;"|"&amp;Responses!$O$6,Repetition!$A$2:$A$20,0)),Responses!$O$6)),3))</x:f>
        <x:v>#N/A</x:v>
      </x:c>
      <x:c r="M5" s="4" t="e">
        <x:f>IF(I5="A","",ROUND(_xlfn.MAXIFS(Data!$M$2:$M$26,Data!$B$2:$B$26,SUMIFS(Sequence!$C:$C,Sequence!$A:$A,$B$5,Sequence!$B:$B,1),Data!$H$2:$H$26,1)-SUMIFS(Data!$M$2:$M$26,Data!$A$2:$A$26,SUMIFS(Sequence!$C:$C,Sequence!$A:$A,$B$5,Sequence!$B:$B,1)&amp;"|"&amp;"N"),3))</x:f>
        <x:v>#N/A</x:v>
      </x:c>
      <x:c r="N5" s="4" t="e">
        <x:f>IF(L5="","",IF(OR(L5&gt;=0.5,AND(M5&gt;0.1,L5&gt;=M5)),"X",IF(L5&lt;=0.1,"Y","–")))</x:f>
        <x:v>#N/A</x:v>
      </x:c>
      <x:c r="O5" s="4" t="e">
        <x:f>IF(OR(I5="A",Responses!$P$6="",Responses!$P$6=0),"",IF(_xlfn.MAXIFS(Data!$M$2:$M$26,Data!$B$2:$B$26,SUMIFS(Sequence!$C:$C,Sequence!$A:$A,$B$5,Sequence!$B:$B,1),Data!$I$2:$I$26,1)-SUMIFS(Data!$M$2:$M$26,Data!$A$2:$A$26,SUMIFS(Sequence!$C:$C,Sequence!$A:$A,$B$5,Sequence!$B:$B,1)&amp;"|"&amp;INDEX(Selector!$D$2:$D$37,MATCH(SUMIFS(Sequence!$C:$C,Sequence!$A:$A,$B$5,Sequence!$B:$B,1)*100+ROUND(Responses!$P$6*10,0),Selector!$A$2:$A$37,0)))&gt;=0.3,"X",IF(_xlfn.MAXIFS(Data!$M$2:$M$26,Data!$B$2:$B$26,SUMIFS(Sequence!$C:$C,Sequence!$A:$A,$B$5,Sequence!$B:$B,1),Data!$I$2:$I$26,1)-SUMIFS(Data!$M$2:$M$26,Data!$A$2:$A$26,SUMIFS(Sequence!$C:$C,Sequence!$A:$A,$B$5,Sequence!$B:$B,1)&amp;"|"&amp;INDEX(Selector!$D$2:$D$37,MATCH(SUMIFS(Sequence!$C:$C,Sequence!$A:$A,$B$5,Sequence!$B:$B,1)*100+ROUND(Responses!$P$6*10,0),Selector!$A$2:$A$37,0)))&lt;=0.05,"Y","–")))</x:f>
        <x:v>#N/A</x:v>
      </x:c>
      <x:c r="P5" s="4" t="e">
        <x:f>IF(OR(I5&lt;&gt;"A",Responses!$O$6=""),"",IF(AND(Responses!$O$6=1,Responses!$Q$6&gt;=6,Responses!$D$6+Responses!$E$6&gt;=6),"X",IF(OR(AND(Responses!$O$6&gt;=2,Responses!$D$6+Responses!$E$6&gt;=6),AND(Responses!$O$6=1,Responses!$C$6&gt;=7)),"Y","–")))</x:f>
        <x:v>#N/A</x:v>
      </x:c>
      <x:c r="Q5" s="4" t="e">
        <x:f>INDEX(Sequence!$D$2:$D$11,MATCH(1,INDEX((Sequence!$A$2:$A$11=$B$5)*(Sequence!$B$2:$B$11=2),0),0))</x:f>
        <x:v>#N/A</x:v>
      </x:c>
      <x:c r="R5" s="4" t="n">
        <x:f>(Responses!$R$6=SUMIFS(Sequence!$E:$E,Sequence!$A:$A,$B$5,Sequence!$B:$B,2))*1+(Responses!$S$6=SUMIFS(Sequence!$F:$F,Sequence!$A:$A,$B$5,Sequence!$B:$B,2))*1+(Responses!$T$6=SUMIFS(Sequence!$G:$G,Sequence!$A:$A,$B$5,Sequence!$B:$B,2))*1</x:f>
        <x:v>3</x:v>
      </x:c>
      <x:c r="S5" s="4" t="str">
        <x:f>IF(Responses!$R$6="","",IF(R5&lt;=1,"X",IF(R5=3,"Y","–")))</x:f>
        <x:v>Y</x:v>
      </x:c>
      <x:c r="T5" s="4" t="e">
        <x:f>IF(OR(Q5="A",Responses!$U$6=""),"",ROUND(_xlfn.MAXIFS(Data!$M$2:$M$26,Data!$B$2:$B$26,SUMIFS(Sequence!$C:$C,Sequence!$A:$A,$B$5,Sequence!$B:$B,2),Data!$H$2:$H$26,1)-SUMIFS(Data!$M$2:$M$26,Data!$A$2:$A$26,SUMIFS(Sequence!$C:$C,Sequence!$A:$A,$B$5,Sequence!$B:$B,2)&amp;"|"&amp;IF(Q5="R",INDEX(Repetition!$D$2:$D$20,MATCH($B$5&amp;"|"&amp;Responses!$U$6,Repetition!$A$2:$A$20,0)),Responses!$U$6)),3))</x:f>
        <x:v>#N/A</x:v>
      </x:c>
      <x:c r="U5" s="4" t="e">
        <x:f>IF(Q5="A","",ROUND(_xlfn.MAXIFS(Data!$M$2:$M$26,Data!$B$2:$B$26,SUMIFS(Sequence!$C:$C,Sequence!$A:$A,$B$5,Sequence!$B:$B,2),Data!$H$2:$H$26,1)-SUMIFS(Data!$M$2:$M$26,Data!$A$2:$A$26,SUMIFS(Sequence!$C:$C,Sequence!$A:$A,$B$5,Sequence!$B:$B,2)&amp;"|"&amp;"N"),3))</x:f>
        <x:v>#N/A</x:v>
      </x:c>
      <x:c r="V5" s="4" t="e">
        <x:f>IF(T5="","",IF(OR(T5&gt;=0.5,AND(U5&gt;0.1,T5&gt;=U5)),"X",IF(T5&lt;=0.1,"Y","–")))</x:f>
        <x:v>#N/A</x:v>
      </x:c>
      <x:c r="W5" s="4" t="e">
        <x:f>IF(OR(Q5="A",Responses!$V$6="",Responses!$V$6=0),"",IF(_xlfn.MAXIFS(Data!$M$2:$M$26,Data!$B$2:$B$26,SUMIFS(Sequence!$C:$C,Sequence!$A:$A,$B$5,Sequence!$B:$B,2),Data!$I$2:$I$26,1)-SUMIFS(Data!$M$2:$M$26,Data!$A$2:$A$26,SUMIFS(Sequence!$C:$C,Sequence!$A:$A,$B$5,Sequence!$B:$B,2)&amp;"|"&amp;INDEX(Selector!$D$2:$D$37,MATCH(SUMIFS(Sequence!$C:$C,Sequence!$A:$A,$B$5,Sequence!$B:$B,2)*100+ROUND(Responses!$V$6*10,0),Selector!$A$2:$A$37,0)))&gt;=0.3,"X",IF(_xlfn.MAXIFS(Data!$M$2:$M$26,Data!$B$2:$B$26,SUMIFS(Sequence!$C:$C,Sequence!$A:$A,$B$5,Sequence!$B:$B,2),Data!$I$2:$I$26,1)-SUMIFS(Data!$M$2:$M$26,Data!$A$2:$A$26,SUMIFS(Sequence!$C:$C,Sequence!$A:$A,$B$5,Sequence!$B:$B,2)&amp;"|"&amp;INDEX(Selector!$D$2:$D$37,MATCH(SUMIFS(Sequence!$C:$C,Sequence!$A:$A,$B$5,Sequence!$B:$B,2)*100+ROUND(Responses!$V$6*10,0),Selector!$A$2:$A$37,0)))&lt;=0.05,"Y","–")))</x:f>
        <x:v>#N/A</x:v>
      </x:c>
      <x:c r="X5" s="4" t="e">
        <x:f>IF(OR(Q5&lt;&gt;"A",Responses!$U$6=""),"",IF(AND(Responses!$U$6=1,Responses!$W$6&gt;=6,Responses!$D$6+Responses!$E$6&gt;=6),"X",IF(OR(AND(Responses!$U$6&gt;=2,Responses!$D$6+Responses!$E$6&gt;=6),AND(Responses!$U$6=1,Responses!$C$6&gt;=7)),"Y","–")))</x:f>
        <x:v>#N/A</x:v>
      </x:c>
      <x:c r="Y5" s="4" t="e">
        <x:f>INDEX(Sequence!$D$2:$D$11,MATCH(1,INDEX((Sequence!$A$2:$A$11=$B$5)*(Sequence!$B$2:$B$11=3),0),0))</x:f>
        <x:v>#N/A</x:v>
      </x:c>
      <x:c r="Z5" s="4" t="n">
        <x:f>(Responses!$X$6=SUMIFS(Sequence!$E:$E,Sequence!$A:$A,$B$5,Sequence!$B:$B,3))*1+(Responses!$Y$6=SUMIFS(Sequence!$F:$F,Sequence!$A:$A,$B$5,Sequence!$B:$B,3))*1+(Responses!$Z$6=SUMIFS(Sequence!$G:$G,Sequence!$A:$A,$B$5,Sequence!$B:$B,3))*1</x:f>
        <x:v>3</x:v>
      </x:c>
      <x:c r="AA5" s="4" t="str">
        <x:f>IF(Responses!$X$6="","",IF(Z5&lt;=1,"X",IF(Z5=3,"Y","–")))</x:f>
        <x:v>Y</x:v>
      </x:c>
      <x:c r="AB5" s="4" t="e">
        <x:f>IF(OR(Y5="A",Responses!$AA$6=""),"",ROUND(_xlfn.MAXIFS(Data!$M$2:$M$26,Data!$B$2:$B$26,SUMIFS(Sequence!$C:$C,Sequence!$A:$A,$B$5,Sequence!$B:$B,3),Data!$H$2:$H$26,1)-SUMIFS(Data!$M$2:$M$26,Data!$A$2:$A$26,SUMIFS(Sequence!$C:$C,Sequence!$A:$A,$B$5,Sequence!$B:$B,3)&amp;"|"&amp;IF(Y5="R",INDEX(Repetition!$D$2:$D$20,MATCH($B$5&amp;"|"&amp;Responses!$AA$6,Repetition!$A$2:$A$20,0)),Responses!$AA$6)),3))</x:f>
        <x:v>#N/A</x:v>
      </x:c>
      <x:c r="AC5" s="4" t="e">
        <x:f>IF(Y5="A","",ROUND(_xlfn.MAXIFS(Data!$M$2:$M$26,Data!$B$2:$B$26,SUMIFS(Sequence!$C:$C,Sequence!$A:$A,$B$5,Sequence!$B:$B,3),Data!$H$2:$H$26,1)-SUMIFS(Data!$M$2:$M$26,Data!$A$2:$A$26,SUMIFS(Sequence!$C:$C,Sequence!$A:$A,$B$5,Sequence!$B:$B,3)&amp;"|"&amp;"N"),3))</x:f>
        <x:v>#N/A</x:v>
      </x:c>
      <x:c r="AD5" s="4" t="e">
        <x:f>IF(AB5="","",IF(OR(AB5&gt;=0.5,AND(AC5&gt;0.1,AB5&gt;=AC5)),"X",IF(AB5&lt;=0.1,"Y","–")))</x:f>
        <x:v>#N/A</x:v>
      </x:c>
      <x:c r="AE5" s="4" t="e">
        <x:f>IF(OR(Y5="A",Responses!$AB$6="",Responses!$AB$6=0),"",IF(_xlfn.MAXIFS(Data!$M$2:$M$26,Data!$B$2:$B$26,SUMIFS(Sequence!$C:$C,Sequence!$A:$A,$B$5,Sequence!$B:$B,3),Data!$I$2:$I$26,1)-SUMIFS(Data!$M$2:$M$26,Data!$A$2:$A$26,SUMIFS(Sequence!$C:$C,Sequence!$A:$A,$B$5,Sequence!$B:$B,3)&amp;"|"&amp;INDEX(Selector!$D$2:$D$37,MATCH(SUMIFS(Sequence!$C:$C,Sequence!$A:$A,$B$5,Sequence!$B:$B,3)*100+ROUND(Responses!$AB$6*10,0),Selector!$A$2:$A$37,0)))&gt;=0.3,"X",IF(_xlfn.MAXIFS(Data!$M$2:$M$26,Data!$B$2:$B$26,SUMIFS(Sequence!$C:$C,Sequence!$A:$A,$B$5,Sequence!$B:$B,3),Data!$I$2:$I$26,1)-SUMIFS(Data!$M$2:$M$26,Data!$A$2:$A$26,SUMIFS(Sequence!$C:$C,Sequence!$A:$A,$B$5,Sequence!$B:$B,3)&amp;"|"&amp;INDEX(Selector!$D$2:$D$37,MATCH(SUMIFS(Sequence!$C:$C,Sequence!$A:$A,$B$5,Sequence!$B:$B,3)*100+ROUND(Responses!$AB$6*10,0),Selector!$A$2:$A$37,0)))&lt;=0.05,"Y","–")))</x:f>
        <x:v>#N/A</x:v>
      </x:c>
      <x:c r="AF5" s="4" t="e">
        <x:f>IF(OR(Y5&lt;&gt;"A",Responses!$AA$6=""),"",IF(AND(Responses!$AA$6=1,Responses!$AC$6&gt;=6,Responses!$D$6+Responses!$E$6&gt;=6),"X",IF(OR(AND(Responses!$AA$6&gt;=2,Responses!$D$6+Responses!$E$6&gt;=6),AND(Responses!$AA$6=1,Responses!$C$6&gt;=7)),"Y","–")))</x:f>
        <x:v>#N/A</x:v>
      </x:c>
      <x:c r="AG5" s="4" t="e">
        <x:f>INDEX(Sequence!$D$2:$D$11,MATCH(1,INDEX((Sequence!$A$2:$A$11=$B$5)*(Sequence!$B$2:$B$11=4),0),0))</x:f>
        <x:v>#N/A</x:v>
      </x:c>
      <x:c r="AH5" s="4" t="n">
        <x:f>(Responses!$AD$6=SUMIFS(Sequence!$E:$E,Sequence!$A:$A,$B$5,Sequence!$B:$B,4))*1+(Responses!$AE$6=SUMIFS(Sequence!$F:$F,Sequence!$A:$A,$B$5,Sequence!$B:$B,4))*1+(Responses!$AF$6=SUMIFS(Sequence!$G:$G,Sequence!$A:$A,$B$5,Sequence!$B:$B,4))*1</x:f>
        <x:v>3</x:v>
      </x:c>
      <x:c r="AI5" s="4" t="str">
        <x:f>IF(Responses!$AD$6="","",IF(AH5&lt;=1,"X",IF(AH5=3,"Y","–")))</x:f>
        <x:v>Y</x:v>
      </x:c>
      <x:c r="AJ5" s="4" t="e">
        <x:f>IF(OR(AG5="A",Responses!$AG$6=""),"",ROUND(_xlfn.MAXIFS(Data!$M$2:$M$26,Data!$B$2:$B$26,SUMIFS(Sequence!$C:$C,Sequence!$A:$A,$B$5,Sequence!$B:$B,4),Data!$H$2:$H$26,1)-SUMIFS(Data!$M$2:$M$26,Data!$A$2:$A$26,SUMIFS(Sequence!$C:$C,Sequence!$A:$A,$B$5,Sequence!$B:$B,4)&amp;"|"&amp;IF(AG5="R",INDEX(Repetition!$D$2:$D$20,MATCH($B$5&amp;"|"&amp;Responses!$AG$6,Repetition!$A$2:$A$20,0)),Responses!$AG$6)),3))</x:f>
        <x:v>#N/A</x:v>
      </x:c>
      <x:c r="AK5" s="4" t="e">
        <x:f>IF(AG5="A","",ROUND(_xlfn.MAXIFS(Data!$M$2:$M$26,Data!$B$2:$B$26,SUMIFS(Sequence!$C:$C,Sequence!$A:$A,$B$5,Sequence!$B:$B,4),Data!$H$2:$H$26,1)-SUMIFS(Data!$M$2:$M$26,Data!$A$2:$A$26,SUMIFS(Sequence!$C:$C,Sequence!$A:$A,$B$5,Sequence!$B:$B,4)&amp;"|"&amp;"N"),3))</x:f>
        <x:v>#N/A</x:v>
      </x:c>
      <x:c r="AL5" s="4" t="e">
        <x:f>IF(AJ5="","",IF(OR(AJ5&gt;=0.5,AND(AK5&gt;0.1,AJ5&gt;=AK5)),"X",IF(AJ5&lt;=0.1,"Y","–")))</x:f>
        <x:v>#N/A</x:v>
      </x:c>
      <x:c r="AM5" s="4" t="e">
        <x:f>IF(OR(AG5="A",Responses!$AH$6="",Responses!$AH$6=0),"",IF(_xlfn.MAXIFS(Data!$M$2:$M$26,Data!$B$2:$B$26,SUMIFS(Sequence!$C:$C,Sequence!$A:$A,$B$5,Sequence!$B:$B,4),Data!$I$2:$I$26,1)-SUMIFS(Data!$M$2:$M$26,Data!$A$2:$A$26,SUMIFS(Sequence!$C:$C,Sequence!$A:$A,$B$5,Sequence!$B:$B,4)&amp;"|"&amp;INDEX(Selector!$D$2:$D$37,MATCH(SUMIFS(Sequence!$C:$C,Sequence!$A:$A,$B$5,Sequence!$B:$B,4)*100+ROUND(Responses!$AH$6*10,0),Selector!$A$2:$A$37,0)))&gt;=0.3,"X",IF(_xlfn.MAXIFS(Data!$M$2:$M$26,Data!$B$2:$B$26,SUMIFS(Sequence!$C:$C,Sequence!$A:$A,$B$5,Sequence!$B:$B,4),Data!$I$2:$I$26,1)-SUMIFS(Data!$M$2:$M$26,Data!$A$2:$A$26,SUMIFS(Sequence!$C:$C,Sequence!$A:$A,$B$5,Sequence!$B:$B,4)&amp;"|"&amp;INDEX(Selector!$D$2:$D$37,MATCH(SUMIFS(Sequence!$C:$C,Sequence!$A:$A,$B$5,Sequence!$B:$B,4)*100+ROUND(Responses!$AH$6*10,0),Selector!$A$2:$A$37,0)))&lt;=0.05,"Y","–")))</x:f>
        <x:v>#N/A</x:v>
      </x:c>
      <x:c r="AN5" s="4" t="e">
        <x:f>IF(OR(AG5&lt;&gt;"A",Responses!$AG$6=""),"",IF(AND(Responses!$AG$6=1,Responses!$AI$6&gt;=6,Responses!$D$6+Responses!$E$6&gt;=6),"X",IF(OR(AND(Responses!$AG$6&gt;=2,Responses!$D$6+Responses!$E$6&gt;=6),AND(Responses!$AG$6=1,Responses!$C$6&gt;=7)),"Y","–")))</x:f>
        <x:v>#N/A</x:v>
      </x:c>
      <x:c r="AO5" s="4" t="e">
        <x:f>INDEX(Sequence!$D$2:$D$11,MATCH(1,INDEX((Sequence!$A$2:$A$11=$B$5)*(Sequence!$B$2:$B$11=5),0),0))</x:f>
        <x:v>#N/A</x:v>
      </x:c>
      <x:c r="AP5" s="4" t="n">
        <x:f>(Responses!$AJ$6=SUMIFS(Sequence!$E:$E,Sequence!$A:$A,$B$5,Sequence!$B:$B,5))*1+(Responses!$AK$6=SUMIFS(Sequence!$F:$F,Sequence!$A:$A,$B$5,Sequence!$B:$B,5))*1+(Responses!$AL$6=SUMIFS(Sequence!$G:$G,Sequence!$A:$A,$B$5,Sequence!$B:$B,5))*1</x:f>
        <x:v>3</x:v>
      </x:c>
      <x:c r="AQ5" s="4" t="str">
        <x:f>IF(Responses!$AJ$6="","",IF(AP5&lt;=1,"X",IF(AP5=3,"Y","–")))</x:f>
        <x:v>Y</x:v>
      </x:c>
      <x:c r="AR5" s="4" t="e">
        <x:f>IF(OR(AO5="A",Responses!$AM$6=""),"",ROUND(_xlfn.MAXIFS(Data!$M$2:$M$26,Data!$B$2:$B$26,SUMIFS(Sequence!$C:$C,Sequence!$A:$A,$B$5,Sequence!$B:$B,5),Data!$H$2:$H$26,1)-SUMIFS(Data!$M$2:$M$26,Data!$A$2:$A$26,SUMIFS(Sequence!$C:$C,Sequence!$A:$A,$B$5,Sequence!$B:$B,5)&amp;"|"&amp;IF(AO5="R",INDEX(Repetition!$D$2:$D$20,MATCH($B$5&amp;"|"&amp;Responses!$AM$6,Repetition!$A$2:$A$20,0)),Responses!$AM$6)),3))</x:f>
        <x:v>#N/A</x:v>
      </x:c>
      <x:c r="AS5" s="4" t="e">
        <x:f>IF(AO5="A","",ROUND(_xlfn.MAXIFS(Data!$M$2:$M$26,Data!$B$2:$B$26,SUMIFS(Sequence!$C:$C,Sequence!$A:$A,$B$5,Sequence!$B:$B,5),Data!$H$2:$H$26,1)-SUMIFS(Data!$M$2:$M$26,Data!$A$2:$A$26,SUMIFS(Sequence!$C:$C,Sequence!$A:$A,$B$5,Sequence!$B:$B,5)&amp;"|"&amp;"N"),3))</x:f>
        <x:v>#N/A</x:v>
      </x:c>
      <x:c r="AT5" s="4" t="e">
        <x:f>IF(AR5="","",IF(OR(AR5&gt;=0.5,AND(AS5&gt;0.1,AR5&gt;=AS5)),"X",IF(AR5&lt;=0.1,"Y","–")))</x:f>
        <x:v>#N/A</x:v>
      </x:c>
      <x:c r="AU5" s="4" t="e">
        <x:f>IF(OR(AO5="A",Responses!$AN$6="",Responses!$AN$6=0),"",IF(_xlfn.MAXIFS(Data!$M$2:$M$26,Data!$B$2:$B$26,SUMIFS(Sequence!$C:$C,Sequence!$A:$A,$B$5,Sequence!$B:$B,5),Data!$I$2:$I$26,1)-SUMIFS(Data!$M$2:$M$26,Data!$A$2:$A$26,SUMIFS(Sequence!$C:$C,Sequence!$A:$A,$B$5,Sequence!$B:$B,5)&amp;"|"&amp;INDEX(Selector!$D$2:$D$37,MATCH(SUMIFS(Sequence!$C:$C,Sequence!$A:$A,$B$5,Sequence!$B:$B,5)*100+ROUND(Responses!$AN$6*10,0),Selector!$A$2:$A$37,0)))&gt;=0.3,"X",IF(_xlfn.MAXIFS(Data!$M$2:$M$26,Data!$B$2:$B$26,SUMIFS(Sequence!$C:$C,Sequence!$A:$A,$B$5,Sequence!$B:$B,5),Data!$I$2:$I$26,1)-SUMIFS(Data!$M$2:$M$26,Data!$A$2:$A$26,SUMIFS(Sequence!$C:$C,Sequence!$A:$A,$B$5,Sequence!$B:$B,5)&amp;"|"&amp;INDEX(Selector!$D$2:$D$37,MATCH(SUMIFS(Sequence!$C:$C,Sequence!$A:$A,$B$5,Sequence!$B:$B,5)*100+ROUND(Responses!$AN$6*10,0),Selector!$A$2:$A$37,0)))&lt;=0.05,"Y","–")))</x:f>
        <x:v>#N/A</x:v>
      </x:c>
      <x:c r="AV5" s="4" t="e">
        <x:f>IF(OR(AO5&lt;&gt;"A",Responses!$AM$6=""),"",IF(AND(Responses!$AM$6=1,Responses!$AO$6&gt;=6,Responses!$D$6+Responses!$E$6&gt;=6),"X",IF(OR(AND(Responses!$AM$6&gt;=2,Responses!$D$6+Responses!$E$6&gt;=6),AND(Responses!$AM$6=1,Responses!$C$6&gt;=7)),"Y","–")))</x:f>
        <x:v>#N/A</x:v>
      </x:c>
      <x:c r="AW5" s="4" t="str">
        <x:f>IF(Responses!$BE$6="","",IF(OR(Responses!$BE$6&lt;25,Responses!$BE$6&gt;150),"X",IF(AND(Responses!$BE$6&gt;=45,Responses!$BE$6&lt;=100),"Y","–")))</x:f>
      </x:c>
      <x:c r="AX5" s="4" t="e">
        <x:f>IF(OR(AR5="",IF($B$5="X",AB5,L5)=""),"",ABS(AR5-IF($B$5="X",AB5,L5)))</x:f>
        <x:v>#N/A</x:v>
      </x:c>
      <x:c r="AY5" s="4" t="e">
        <x:f>IF(AX5="","",IF(AX5&gt;0.25,"X",IF(AX5=0,"Y","–")))</x:f>
        <x:v>#N/A</x:v>
      </x:c>
      <x:c r="AZ5" s="4" t="n">
        <x:f>(Responses!$AP$6=INDEX(VignetteKeys!$B$2:$B$3,MATCH($B$5,VignetteKeys!$A$2:$A$3,0)))*1+(Responses!$AQ$6=INDEX(VignetteKeys!$C$2:$C$3,MATCH($B$5,VignetteKeys!$A$2:$A$3,0)))*1+(Responses!$AR$6=INDEX(VignetteKeys!$D$2:$D$3,MATCH($B$5,VignetteKeys!$A$2:$A$3,0)))*1+(Responses!$AS$6=INDEX(VignetteKeys!$E$2:$E$3,MATCH($B$5,VignetteKeys!$A$2:$A$3,0)))*1</x:f>
        <x:v>4</x:v>
      </x:c>
      <x:c r="BA5" s="4" t="str">
        <x:f>IF(Responses!$AP$6="","",IF(OR(AND(Responses!$AP$6&lt;&gt;INDEX(VignetteKeys!$B$2:$B$3,MATCH($B$5,VignetteKeys!$A$2:$A$3,0)),Responses!$AQ$6&lt;&gt;INDEX(VignetteKeys!$C$2:$C$3,MATCH($B$5,VignetteKeys!$A$2:$A$3,0))),AND(Responses!$AR$6&lt;&gt;INDEX(VignetteKeys!$D$2:$D$3,MATCH($B$5,VignetteKeys!$A$2:$A$3,0)),Responses!$AS$6&lt;&gt;INDEX(VignetteKeys!$E$2:$E$3,MATCH($B$5,VignetteKeys!$A$2:$A$3,0)))),"X",IF(AZ5=4,"Y","–")))</x:f>
        <x:v>Y</x:v>
      </x:c>
      <x:c r="BB5" s="4" t="str">
        <x:f>IF(Responses!$AT$6="","",IF(Responses!$AT$6&lt;&gt;4,"X","Y"))</x:f>
        <x:v>Y</x:v>
      </x:c>
      <x:c r="BC5" s="4" t="str">
        <x:f>IF(COUNT(Responses!$AU$6:$BD$6)&lt;10,"",((Responses!$AU$6-1)+(Responses!$AW$6-1)+(Responses!$AY$6-1)+(Responses!$BA$6-1)+(Responses!$BC$6-1)+(5-Responses!$AV$6)+(5-Responses!$AX$6)+(5-Responses!$AZ$6)+(5-Responses!$BB$6)+(5-Responses!$BD$6))*2.5)</x:f>
      </x:c>
      <x:c r="BD5" s="4" t="str">
        <x:f>IF(BC5="","",IF(BC5&lt;50,"X",IF(BC5&gt;=68,"Y","–")))</x:f>
      </x:c>
      <x:c r="BE5" s="4" t="e">
        <x:f>IF((IF(AND(I5&lt;&gt;"A",ISNUMBER(Responses!$Q$6)),1,0)+IF(AND(Q5&lt;&gt;"A",ISNUMBER(Responses!$W$6)),1,0)+IF(AND(Y5&lt;&gt;"A",ISNUMBER(Responses!$AC$6)),1,0)+IF(AND(AG5&lt;&gt;"A",ISNUMBER(Responses!$AI$6)),1,0)+IF(AND(AO5&lt;&gt;"A",ISNUMBER(Responses!$AO$6)),1,0))=0,"",ROUND((IF(AND(I5&lt;&gt;"A",ISNUMBER(Responses!$Q$6)),Responses!$Q$6,0)+IF(AND(Q5&lt;&gt;"A",ISNUMBER(Responses!$W$6)),Responses!$W$6,0)+IF(AND(Y5&lt;&gt;"A",ISNUMBER(Responses!$AC$6)),Responses!$AC$6,0)+IF(AND(AG5&lt;&gt;"A",ISNUMBER(Responses!$AI$6)),Responses!$AI$6,0)+IF(AND(AO5&lt;&gt;"A",ISNUMBER(Responses!$AO$6)),Responses!$AO$6,0))/(IF(AND(I5&lt;&gt;"A",ISNUMBER(Responses!$Q$6)),1,0)+IF(AND(Q5&lt;&gt;"A",ISNUMBER(Responses!$W$6)),1,0)+IF(AND(Y5&lt;&gt;"A",ISNUMBER(Responses!$AC$6)),1,0)+IF(AND(AG5&lt;&gt;"A",ISNUMBER(Responses!$AI$6)),1,0)+IF(AND(AO5&lt;&gt;"A",ISNUMBER(Responses!$AO$6)),1,0)),2))</x:f>
        <x:v>#N/A</x:v>
      </x:c>
      <x:c r="BF5" s="4" t="e">
        <x:f>IF((IF(AND(I5="A",ISNUMBER(Responses!$Q$6)),1,0)+IF(AND(Q5="A",ISNUMBER(Responses!$W$6)),1,0)+IF(AND(Y5="A",ISNUMBER(Responses!$AC$6)),1,0)+IF(AND(AG5="A",ISNUMBER(Responses!$AI$6)),1,0)+IF(AND(AO5="A",ISNUMBER(Responses!$AO$6)),1,0))=0,"",ROUND((IF(AND(I5="A",ISNUMBER(Responses!$Q$6)),Responses!$Q$6,0)+IF(AND(Q5="A",ISNUMBER(Responses!$W$6)),Responses!$W$6,0)+IF(AND(Y5="A",ISNUMBER(Responses!$AC$6)),Responses!$AC$6,0)+IF(AND(AG5="A",ISNUMBER(Responses!$AI$6)),Responses!$AI$6,0)+IF(AND(AO5="A",ISNUMBER(Responses!$AO$6)),Responses!$AO$6,0))/(IF(AND(I5="A",ISNUMBER(Responses!$Q$6)),1,0)+IF(AND(Q5="A",ISNUMBER(Responses!$W$6)),1,0)+IF(AND(Y5="A",ISNUMBER(Responses!$AC$6)),1,0)+IF(AND(AG5="A",ISNUMBER(Responses!$AI$6)),1,0)+IF(AND(AO5="A",ISNUMBER(Responses!$AO$6)),1,0)),2))</x:f>
        <x:v>#N/A</x:v>
      </x:c>
      <x:c r="BG5" s="4" t="e">
        <x:f>IF(OR(BE5="",BF5=""),"",IF(BF5-BE5&gt;=3,"X",IF(BE5&gt;=BF5,"Y","–")))</x:f>
        <x:v>#N/A</x:v>
      </x:c>
      <x:c r="BH5" s="4" t="e">
        <x:f>(D5="X")*1+(F5="X")*1+(H5="X")*1+(K5="X")*1+(N5="X")*1+(O5="X")*1+(P5="X")*1+(S5="X")*1+(V5="X")*1+(W5="X")*1+(X5="X")*1+(AA5="X")*1+(AD5="X")*1+(AE5="X")*1+(AF5="X")*1+(AI5="X")*1+(AL5="X")*1+(AM5="X")*1+(AN5="X")*1+(AQ5="X")*1+(AT5="X")*1+(AU5="X")*1+(AV5="X")*1+(AW5="X")*1+(AY5="X")*1+(BA5="X")*1+(BB5="X")*1+(BD5="X")*1+(BG5="X")*1</x:f>
        <x:v>#N/A</x:v>
      </x:c>
    </x:row>
    <x:row r="6">
      <x:c r="A6" s="4" t="str">
        <x:f>Responses!$A$7</x:f>
        <x:v>P05</x:v>
      </x:c>
      <x:c r="B6" s="4" t="str">
        <x:f>Responses!$B$7</x:f>
        <x:v>X</x:v>
      </x:c>
      <x:c r="C6" s="4" t="n">
        <x:f>SUM(Responses!$C$7,Responses!$D$7,Responses!$E$7)</x:f>
        <x:v>10</x:v>
      </x:c>
      <x:c r="D6" s="4" t="str">
        <x:f>IF(C6=0,"",IF(C6&lt;&gt;10,"X","Y"))</x:f>
        <x:v>Y</x:v>
      </x:c>
      <x:c r="E6" s="4" t="n">
        <x:f>IF(OR(Responses!$F$7="",Responses!$F$7&gt;6),"",MAX(ABS(Responses!$C$7-INDEX(Profiles!$C$2:$C$7,Responses!$F$7)),ABS(Responses!$D$7-INDEX(Profiles!$D$2:$D$7,Responses!$F$7)),ABS(Responses!$E$7-INDEX(Profiles!$E$2:$E$7,Responses!$F$7))))</x:f>
        <x:v>1</x:v>
      </x:c>
      <x:c r="F6" s="4" t="str">
        <x:f>IF(E6="","",IF(E6&gt;=4,"X",IF(E6&lt;=2,"Y","–")))</x:f>
        <x:v>Y</x:v>
      </x:c>
      <x:c r="G6" s="4" t="n">
        <x:f>(Responses!$G$7=2)*1+(Responses!$H$7=1)*1+(Responses!$I$7=2)*1+(Responses!$J$7=2)*1+(Responses!$K$7=2)*1</x:f>
        <x:v>5</x:v>
      </x:c>
      <x:c r="H6" s="4" t="str">
        <x:f>IF(Responses!$G$7="","",IF(G6&lt;=3,"X",IF(G6=5,"Y","–")))</x:f>
        <x:v>Y</x:v>
      </x:c>
      <x:c r="I6" s="4" t="str">
        <x:f>INDEX(Sequence!$D$2:$D$11,MATCH(1,INDEX((Sequence!$A$2:$A$11=$B$6)*(Sequence!$B$2:$B$11=1),0),0))</x:f>
        <x:v>A</x:v>
      </x:c>
      <x:c r="J6" s="4" t="n">
        <x:f>(Responses!$L$7=SUMIFS(Sequence!$E:$E,Sequence!$A:$A,$B$6,Sequence!$B:$B,1))*1+(Responses!$M$7=SUMIFS(Sequence!$F:$F,Sequence!$A:$A,$B$6,Sequence!$B:$B,1))*1+(Responses!$N$7=SUMIFS(Sequence!$G:$G,Sequence!$A:$A,$B$6,Sequence!$B:$B,1))*1</x:f>
        <x:v>3</x:v>
      </x:c>
      <x:c r="K6" s="4" t="str">
        <x:f>IF(Responses!$L$7="","",IF(J6&lt;=1,"X",IF(J6=3,"Y","–")))</x:f>
        <x:v>Y</x:v>
      </x:c>
      <x:c r="L6" s="4" t="str">
        <x:f>IF(OR(I6="A",Responses!$O$7=""),"",ROUND(_xlfn.MAXIFS(Data!$N$2:$N$26,Data!$B$2:$B$26,SUMIFS(Sequence!$C:$C,Sequence!$A:$A,$B$6,Sequence!$B:$B,1),Data!$H$2:$H$26,1)-SUMIFS(Data!$N$2:$N$26,Data!$A$2:$A$26,SUMIFS(Sequence!$C:$C,Sequence!$A:$A,$B$6,Sequence!$B:$B,1)&amp;"|"&amp;IF(I6="R",INDEX(Repetition!$D$2:$D$20,MATCH($B$6&amp;"|"&amp;Responses!$O$7,Repetition!$A$2:$A$20,0)),Responses!$O$7)),3))</x:f>
      </x:c>
      <x:c r="M6" s="4" t="str">
        <x:f>IF(I6="A","",ROUND(_xlfn.MAXIFS(Data!$N$2:$N$26,Data!$B$2:$B$26,SUMIFS(Sequence!$C:$C,Sequence!$A:$A,$B$6,Sequence!$B:$B,1),Data!$H$2:$H$26,1)-SUMIFS(Data!$N$2:$N$26,Data!$A$2:$A$26,SUMIFS(Sequence!$C:$C,Sequence!$A:$A,$B$6,Sequence!$B:$B,1)&amp;"|"&amp;"N"),3))</x:f>
      </x:c>
      <x:c r="N6" s="4" t="str">
        <x:f>IF(L6="","",IF(OR(L6&gt;=0.5,AND(M6&gt;0.1,L6&gt;=M6)),"X",IF(L6&lt;=0.1,"Y","–")))</x:f>
      </x:c>
      <x:c r="O6" s="4" t="str">
        <x:f>IF(OR(I6="A",Responses!$P$7="",Responses!$P$7=0),"",IF(_xlfn.MAXIFS(Data!$N$2:$N$26,Data!$B$2:$B$26,SUMIFS(Sequence!$C:$C,Sequence!$A:$A,$B$6,Sequence!$B:$B,1),Data!$I$2:$I$26,1)-SUMIFS(Data!$N$2:$N$26,Data!$A$2:$A$26,SUMIFS(Sequence!$C:$C,Sequence!$A:$A,$B$6,Sequence!$B:$B,1)&amp;"|"&amp;INDEX(Selector!$D$2:$D$37,MATCH(SUMIFS(Sequence!$C:$C,Sequence!$A:$A,$B$6,Sequence!$B:$B,1)*100+ROUND(Responses!$P$7*10,0),Selector!$A$2:$A$37,0)))&gt;=0.3,"X",IF(_xlfn.MAXIFS(Data!$N$2:$N$26,Data!$B$2:$B$26,SUMIFS(Sequence!$C:$C,Sequence!$A:$A,$B$6,Sequence!$B:$B,1),Data!$I$2:$I$26,1)-SUMIFS(Data!$N$2:$N$26,Data!$A$2:$A$26,SUMIFS(Sequence!$C:$C,Sequence!$A:$A,$B$6,Sequence!$B:$B,1)&amp;"|"&amp;INDEX(Selector!$D$2:$D$37,MATCH(SUMIFS(Sequence!$C:$C,Sequence!$A:$A,$B$6,Sequence!$B:$B,1)*100+ROUND(Responses!$P$7*10,0),Selector!$A$2:$A$37,0)))&lt;=0.05,"Y","–")))</x:f>
      </x:c>
      <x:c r="P6" s="4" t="str">
        <x:f>IF(OR(I6&lt;&gt;"A",Responses!$O$7=""),"",IF(AND(Responses!$O$7=1,Responses!$Q$7&gt;=6,Responses!$D$7+Responses!$E$7&gt;=6),"X",IF(OR(AND(Responses!$O$7&gt;=2,Responses!$D$7+Responses!$E$7&gt;=6),AND(Responses!$O$7=1,Responses!$C$7&gt;=7)),"Y","–")))</x:f>
        <x:v>Y</x:v>
      </x:c>
      <x:c r="Q6" s="4" t="e">
        <x:f>INDEX(Sequence!$D$2:$D$11,MATCH(1,INDEX((Sequence!$A$2:$A$11=$B$6)*(Sequence!$B$2:$B$11=2),0),0))</x:f>
        <x:v>#N/A</x:v>
      </x:c>
      <x:c r="R6" s="4" t="n">
        <x:f>(Responses!$R$7=SUMIFS(Sequence!$E:$E,Sequence!$A:$A,$B$6,Sequence!$B:$B,2))*1+(Responses!$S$7=SUMIFS(Sequence!$F:$F,Sequence!$A:$A,$B$6,Sequence!$B:$B,2))*1+(Responses!$T$7=SUMIFS(Sequence!$G:$G,Sequence!$A:$A,$B$6,Sequence!$B:$B,2))*1</x:f>
        <x:v>3</x:v>
      </x:c>
      <x:c r="S6" s="4" t="str">
        <x:f>IF(Responses!$R$7="","",IF(R6&lt;=1,"X",IF(R6=3,"Y","–")))</x:f>
        <x:v>Y</x:v>
      </x:c>
      <x:c r="T6" s="4" t="e">
        <x:f>IF(OR(Q6="A",Responses!$U$7=""),"",ROUND(_xlfn.MAXIFS(Data!$N$2:$N$26,Data!$B$2:$B$26,SUMIFS(Sequence!$C:$C,Sequence!$A:$A,$B$6,Sequence!$B:$B,2),Data!$H$2:$H$26,1)-SUMIFS(Data!$N$2:$N$26,Data!$A$2:$A$26,SUMIFS(Sequence!$C:$C,Sequence!$A:$A,$B$6,Sequence!$B:$B,2)&amp;"|"&amp;IF(Q6="R",INDEX(Repetition!$D$2:$D$20,MATCH($B$6&amp;"|"&amp;Responses!$U$7,Repetition!$A$2:$A$20,0)),Responses!$U$7)),3))</x:f>
        <x:v>#N/A</x:v>
      </x:c>
      <x:c r="U6" s="4" t="e">
        <x:f>IF(Q6="A","",ROUND(_xlfn.MAXIFS(Data!$N$2:$N$26,Data!$B$2:$B$26,SUMIFS(Sequence!$C:$C,Sequence!$A:$A,$B$6,Sequence!$B:$B,2),Data!$H$2:$H$26,1)-SUMIFS(Data!$N$2:$N$26,Data!$A$2:$A$26,SUMIFS(Sequence!$C:$C,Sequence!$A:$A,$B$6,Sequence!$B:$B,2)&amp;"|"&amp;"N"),3))</x:f>
        <x:v>#N/A</x:v>
      </x:c>
      <x:c r="V6" s="4" t="e">
        <x:f>IF(T6="","",IF(OR(T6&gt;=0.5,AND(U6&gt;0.1,T6&gt;=U6)),"X",IF(T6&lt;=0.1,"Y","–")))</x:f>
        <x:v>#N/A</x:v>
      </x:c>
      <x:c r="W6" s="4" t="e">
        <x:f>IF(OR(Q6="A",Responses!$V$7="",Responses!$V$7=0),"",IF(_xlfn.MAXIFS(Data!$N$2:$N$26,Data!$B$2:$B$26,SUMIFS(Sequence!$C:$C,Sequence!$A:$A,$B$6,Sequence!$B:$B,2),Data!$I$2:$I$26,1)-SUMIFS(Data!$N$2:$N$26,Data!$A$2:$A$26,SUMIFS(Sequence!$C:$C,Sequence!$A:$A,$B$6,Sequence!$B:$B,2)&amp;"|"&amp;INDEX(Selector!$D$2:$D$37,MATCH(SUMIFS(Sequence!$C:$C,Sequence!$A:$A,$B$6,Sequence!$B:$B,2)*100+ROUND(Responses!$V$7*10,0),Selector!$A$2:$A$37,0)))&gt;=0.3,"X",IF(_xlfn.MAXIFS(Data!$N$2:$N$26,Data!$B$2:$B$26,SUMIFS(Sequence!$C:$C,Sequence!$A:$A,$B$6,Sequence!$B:$B,2),Data!$I$2:$I$26,1)-SUMIFS(Data!$N$2:$N$26,Data!$A$2:$A$26,SUMIFS(Sequence!$C:$C,Sequence!$A:$A,$B$6,Sequence!$B:$B,2)&amp;"|"&amp;INDEX(Selector!$D$2:$D$37,MATCH(SUMIFS(Sequence!$C:$C,Sequence!$A:$A,$B$6,Sequence!$B:$B,2)*100+ROUND(Responses!$V$7*10,0),Selector!$A$2:$A$37,0)))&lt;=0.05,"Y","–")))</x:f>
        <x:v>#N/A</x:v>
      </x:c>
      <x:c r="X6" s="4" t="e">
        <x:f>IF(OR(Q6&lt;&gt;"A",Responses!$U$7=""),"",IF(AND(Responses!$U$7=1,Responses!$W$7&gt;=6,Responses!$D$7+Responses!$E$7&gt;=6),"X",IF(OR(AND(Responses!$U$7&gt;=2,Responses!$D$7+Responses!$E$7&gt;=6),AND(Responses!$U$7=1,Responses!$C$7&gt;=7)),"Y","–")))</x:f>
        <x:v>#N/A</x:v>
      </x:c>
      <x:c r="Y6" s="4" t="e">
        <x:f>INDEX(Sequence!$D$2:$D$11,MATCH(1,INDEX((Sequence!$A$2:$A$11=$B$6)*(Sequence!$B$2:$B$11=3),0),0))</x:f>
        <x:v>#N/A</x:v>
      </x:c>
      <x:c r="Z6" s="4" t="n">
        <x:f>(Responses!$X$7=SUMIFS(Sequence!$E:$E,Sequence!$A:$A,$B$6,Sequence!$B:$B,3))*1+(Responses!$Y$7=SUMIFS(Sequence!$F:$F,Sequence!$A:$A,$B$6,Sequence!$B:$B,3))*1+(Responses!$Z$7=SUMIFS(Sequence!$G:$G,Sequence!$A:$A,$B$6,Sequence!$B:$B,3))*1</x:f>
        <x:v>3</x:v>
      </x:c>
      <x:c r="AA6" s="4" t="str">
        <x:f>IF(Responses!$X$7="","",IF(Z6&lt;=1,"X",IF(Z6=3,"Y","–")))</x:f>
        <x:v>Y</x:v>
      </x:c>
      <x:c r="AB6" s="4" t="e">
        <x:f>IF(OR(Y6="A",Responses!$AA$7=""),"",ROUND(_xlfn.MAXIFS(Data!$N$2:$N$26,Data!$B$2:$B$26,SUMIFS(Sequence!$C:$C,Sequence!$A:$A,$B$6,Sequence!$B:$B,3),Data!$H$2:$H$26,1)-SUMIFS(Data!$N$2:$N$26,Data!$A$2:$A$26,SUMIFS(Sequence!$C:$C,Sequence!$A:$A,$B$6,Sequence!$B:$B,3)&amp;"|"&amp;IF(Y6="R",INDEX(Repetition!$D$2:$D$20,MATCH($B$6&amp;"|"&amp;Responses!$AA$7,Repetition!$A$2:$A$20,0)),Responses!$AA$7)),3))</x:f>
        <x:v>#N/A</x:v>
      </x:c>
      <x:c r="AC6" s="4" t="e">
        <x:f>IF(Y6="A","",ROUND(_xlfn.MAXIFS(Data!$N$2:$N$26,Data!$B$2:$B$26,SUMIFS(Sequence!$C:$C,Sequence!$A:$A,$B$6,Sequence!$B:$B,3),Data!$H$2:$H$26,1)-SUMIFS(Data!$N$2:$N$26,Data!$A$2:$A$26,SUMIFS(Sequence!$C:$C,Sequence!$A:$A,$B$6,Sequence!$B:$B,3)&amp;"|"&amp;"N"),3))</x:f>
        <x:v>#N/A</x:v>
      </x:c>
      <x:c r="AD6" s="4" t="e">
        <x:f>IF(AB6="","",IF(OR(AB6&gt;=0.5,AND(AC6&gt;0.1,AB6&gt;=AC6)),"X",IF(AB6&lt;=0.1,"Y","–")))</x:f>
        <x:v>#N/A</x:v>
      </x:c>
      <x:c r="AE6" s="4" t="e">
        <x:f>IF(OR(Y6="A",Responses!$AB$7="",Responses!$AB$7=0),"",IF(_xlfn.MAXIFS(Data!$N$2:$N$26,Data!$B$2:$B$26,SUMIFS(Sequence!$C:$C,Sequence!$A:$A,$B$6,Sequence!$B:$B,3),Data!$I$2:$I$26,1)-SUMIFS(Data!$N$2:$N$26,Data!$A$2:$A$26,SUMIFS(Sequence!$C:$C,Sequence!$A:$A,$B$6,Sequence!$B:$B,3)&amp;"|"&amp;INDEX(Selector!$D$2:$D$37,MATCH(SUMIFS(Sequence!$C:$C,Sequence!$A:$A,$B$6,Sequence!$B:$B,3)*100+ROUND(Responses!$AB$7*10,0),Selector!$A$2:$A$37,0)))&gt;=0.3,"X",IF(_xlfn.MAXIFS(Data!$N$2:$N$26,Data!$B$2:$B$26,SUMIFS(Sequence!$C:$C,Sequence!$A:$A,$B$6,Sequence!$B:$B,3),Data!$I$2:$I$26,1)-SUMIFS(Data!$N$2:$N$26,Data!$A$2:$A$26,SUMIFS(Sequence!$C:$C,Sequence!$A:$A,$B$6,Sequence!$B:$B,3)&amp;"|"&amp;INDEX(Selector!$D$2:$D$37,MATCH(SUMIFS(Sequence!$C:$C,Sequence!$A:$A,$B$6,Sequence!$B:$B,3)*100+ROUND(Responses!$AB$7*10,0),Selector!$A$2:$A$37,0)))&lt;=0.05,"Y","–")))</x:f>
        <x:v>#N/A</x:v>
      </x:c>
      <x:c r="AF6" s="4" t="e">
        <x:f>IF(OR(Y6&lt;&gt;"A",Responses!$AA$7=""),"",IF(AND(Responses!$AA$7=1,Responses!$AC$7&gt;=6,Responses!$D$7+Responses!$E$7&gt;=6),"X",IF(OR(AND(Responses!$AA$7&gt;=2,Responses!$D$7+Responses!$E$7&gt;=6),AND(Responses!$AA$7=1,Responses!$C$7&gt;=7)),"Y","–")))</x:f>
        <x:v>#N/A</x:v>
      </x:c>
      <x:c r="AG6" s="4" t="e">
        <x:f>INDEX(Sequence!$D$2:$D$11,MATCH(1,INDEX((Sequence!$A$2:$A$11=$B$6)*(Sequence!$B$2:$B$11=4),0),0))</x:f>
        <x:v>#N/A</x:v>
      </x:c>
      <x:c r="AH6" s="4" t="n">
        <x:f>(Responses!$AD$7=SUMIFS(Sequence!$E:$E,Sequence!$A:$A,$B$6,Sequence!$B:$B,4))*1+(Responses!$AE$7=SUMIFS(Sequence!$F:$F,Sequence!$A:$A,$B$6,Sequence!$B:$B,4))*1+(Responses!$AF$7=SUMIFS(Sequence!$G:$G,Sequence!$A:$A,$B$6,Sequence!$B:$B,4))*1</x:f>
        <x:v>3</x:v>
      </x:c>
      <x:c r="AI6" s="4" t="str">
        <x:f>IF(Responses!$AD$7="","",IF(AH6&lt;=1,"X",IF(AH6=3,"Y","–")))</x:f>
        <x:v>Y</x:v>
      </x:c>
      <x:c r="AJ6" s="4" t="e">
        <x:f>IF(OR(AG6="A",Responses!$AG$7=""),"",ROUND(_xlfn.MAXIFS(Data!$N$2:$N$26,Data!$B$2:$B$26,SUMIFS(Sequence!$C:$C,Sequence!$A:$A,$B$6,Sequence!$B:$B,4),Data!$H$2:$H$26,1)-SUMIFS(Data!$N$2:$N$26,Data!$A$2:$A$26,SUMIFS(Sequence!$C:$C,Sequence!$A:$A,$B$6,Sequence!$B:$B,4)&amp;"|"&amp;IF(AG6="R",INDEX(Repetition!$D$2:$D$20,MATCH($B$6&amp;"|"&amp;Responses!$AG$7,Repetition!$A$2:$A$20,0)),Responses!$AG$7)),3))</x:f>
        <x:v>#N/A</x:v>
      </x:c>
      <x:c r="AK6" s="4" t="e">
        <x:f>IF(AG6="A","",ROUND(_xlfn.MAXIFS(Data!$N$2:$N$26,Data!$B$2:$B$26,SUMIFS(Sequence!$C:$C,Sequence!$A:$A,$B$6,Sequence!$B:$B,4),Data!$H$2:$H$26,1)-SUMIFS(Data!$N$2:$N$26,Data!$A$2:$A$26,SUMIFS(Sequence!$C:$C,Sequence!$A:$A,$B$6,Sequence!$B:$B,4)&amp;"|"&amp;"N"),3))</x:f>
        <x:v>#N/A</x:v>
      </x:c>
      <x:c r="AL6" s="4" t="e">
        <x:f>IF(AJ6="","",IF(OR(AJ6&gt;=0.5,AND(AK6&gt;0.1,AJ6&gt;=AK6)),"X",IF(AJ6&lt;=0.1,"Y","–")))</x:f>
        <x:v>#N/A</x:v>
      </x:c>
      <x:c r="AM6" s="4" t="e">
        <x:f>IF(OR(AG6="A",Responses!$AH$7="",Responses!$AH$7=0),"",IF(_xlfn.MAXIFS(Data!$N$2:$N$26,Data!$B$2:$B$26,SUMIFS(Sequence!$C:$C,Sequence!$A:$A,$B$6,Sequence!$B:$B,4),Data!$I$2:$I$26,1)-SUMIFS(Data!$N$2:$N$26,Data!$A$2:$A$26,SUMIFS(Sequence!$C:$C,Sequence!$A:$A,$B$6,Sequence!$B:$B,4)&amp;"|"&amp;INDEX(Selector!$D$2:$D$37,MATCH(SUMIFS(Sequence!$C:$C,Sequence!$A:$A,$B$6,Sequence!$B:$B,4)*100+ROUND(Responses!$AH$7*10,0),Selector!$A$2:$A$37,0)))&gt;=0.3,"X",IF(_xlfn.MAXIFS(Data!$N$2:$N$26,Data!$B$2:$B$26,SUMIFS(Sequence!$C:$C,Sequence!$A:$A,$B$6,Sequence!$B:$B,4),Data!$I$2:$I$26,1)-SUMIFS(Data!$N$2:$N$26,Data!$A$2:$A$26,SUMIFS(Sequence!$C:$C,Sequence!$A:$A,$B$6,Sequence!$B:$B,4)&amp;"|"&amp;INDEX(Selector!$D$2:$D$37,MATCH(SUMIFS(Sequence!$C:$C,Sequence!$A:$A,$B$6,Sequence!$B:$B,4)*100+ROUND(Responses!$AH$7*10,0),Selector!$A$2:$A$37,0)))&lt;=0.05,"Y","–")))</x:f>
        <x:v>#N/A</x:v>
      </x:c>
      <x:c r="AN6" s="4" t="e">
        <x:f>IF(OR(AG6&lt;&gt;"A",Responses!$AG$7=""),"",IF(AND(Responses!$AG$7=1,Responses!$AI$7&gt;=6,Responses!$D$7+Responses!$E$7&gt;=6),"X",IF(OR(AND(Responses!$AG$7&gt;=2,Responses!$D$7+Responses!$E$7&gt;=6),AND(Responses!$AG$7=1,Responses!$C$7&gt;=7)),"Y","–")))</x:f>
        <x:v>#N/A</x:v>
      </x:c>
      <x:c r="AO6" s="4" t="e">
        <x:f>INDEX(Sequence!$D$2:$D$11,MATCH(1,INDEX((Sequence!$A$2:$A$11=$B$6)*(Sequence!$B$2:$B$11=5),0),0))</x:f>
        <x:v>#N/A</x:v>
      </x:c>
      <x:c r="AP6" s="4" t="n">
        <x:f>(Responses!$AJ$7=SUMIFS(Sequence!$E:$E,Sequence!$A:$A,$B$6,Sequence!$B:$B,5))*1+(Responses!$AK$7=SUMIFS(Sequence!$F:$F,Sequence!$A:$A,$B$6,Sequence!$B:$B,5))*1+(Responses!$AL$7=SUMIFS(Sequence!$G:$G,Sequence!$A:$A,$B$6,Sequence!$B:$B,5))*1</x:f>
        <x:v>3</x:v>
      </x:c>
      <x:c r="AQ6" s="4" t="str">
        <x:f>IF(Responses!$AJ$7="","",IF(AP6&lt;=1,"X",IF(AP6=3,"Y","–")))</x:f>
        <x:v>Y</x:v>
      </x:c>
      <x:c r="AR6" s="4" t="e">
        <x:f>IF(OR(AO6="A",Responses!$AM$7=""),"",ROUND(_xlfn.MAXIFS(Data!$N$2:$N$26,Data!$B$2:$B$26,SUMIFS(Sequence!$C:$C,Sequence!$A:$A,$B$6,Sequence!$B:$B,5),Data!$H$2:$H$26,1)-SUMIFS(Data!$N$2:$N$26,Data!$A$2:$A$26,SUMIFS(Sequence!$C:$C,Sequence!$A:$A,$B$6,Sequence!$B:$B,5)&amp;"|"&amp;IF(AO6="R",INDEX(Repetition!$D$2:$D$20,MATCH($B$6&amp;"|"&amp;Responses!$AM$7,Repetition!$A$2:$A$20,0)),Responses!$AM$7)),3))</x:f>
        <x:v>#N/A</x:v>
      </x:c>
      <x:c r="AS6" s="4" t="e">
        <x:f>IF(AO6="A","",ROUND(_xlfn.MAXIFS(Data!$N$2:$N$26,Data!$B$2:$B$26,SUMIFS(Sequence!$C:$C,Sequence!$A:$A,$B$6,Sequence!$B:$B,5),Data!$H$2:$H$26,1)-SUMIFS(Data!$N$2:$N$26,Data!$A$2:$A$26,SUMIFS(Sequence!$C:$C,Sequence!$A:$A,$B$6,Sequence!$B:$B,5)&amp;"|"&amp;"N"),3))</x:f>
        <x:v>#N/A</x:v>
      </x:c>
      <x:c r="AT6" s="4" t="e">
        <x:f>IF(AR6="","",IF(OR(AR6&gt;=0.5,AND(AS6&gt;0.1,AR6&gt;=AS6)),"X",IF(AR6&lt;=0.1,"Y","–")))</x:f>
        <x:v>#N/A</x:v>
      </x:c>
      <x:c r="AU6" s="4" t="e">
        <x:f>IF(OR(AO6="A",Responses!$AN$7="",Responses!$AN$7=0),"",IF(_xlfn.MAXIFS(Data!$N$2:$N$26,Data!$B$2:$B$26,SUMIFS(Sequence!$C:$C,Sequence!$A:$A,$B$6,Sequence!$B:$B,5),Data!$I$2:$I$26,1)-SUMIFS(Data!$N$2:$N$26,Data!$A$2:$A$26,SUMIFS(Sequence!$C:$C,Sequence!$A:$A,$B$6,Sequence!$B:$B,5)&amp;"|"&amp;INDEX(Selector!$D$2:$D$37,MATCH(SUMIFS(Sequence!$C:$C,Sequence!$A:$A,$B$6,Sequence!$B:$B,5)*100+ROUND(Responses!$AN$7*10,0),Selector!$A$2:$A$37,0)))&gt;=0.3,"X",IF(_xlfn.MAXIFS(Data!$N$2:$N$26,Data!$B$2:$B$26,SUMIFS(Sequence!$C:$C,Sequence!$A:$A,$B$6,Sequence!$B:$B,5),Data!$I$2:$I$26,1)-SUMIFS(Data!$N$2:$N$26,Data!$A$2:$A$26,SUMIFS(Sequence!$C:$C,Sequence!$A:$A,$B$6,Sequence!$B:$B,5)&amp;"|"&amp;INDEX(Selector!$D$2:$D$37,MATCH(SUMIFS(Sequence!$C:$C,Sequence!$A:$A,$B$6,Sequence!$B:$B,5)*100+ROUND(Responses!$AN$7*10,0),Selector!$A$2:$A$37,0)))&lt;=0.05,"Y","–")))</x:f>
        <x:v>#N/A</x:v>
      </x:c>
      <x:c r="AV6" s="4" t="e">
        <x:f>IF(OR(AO6&lt;&gt;"A",Responses!$AM$7=""),"",IF(AND(Responses!$AM$7=1,Responses!$AO$7&gt;=6,Responses!$D$7+Responses!$E$7&gt;=6),"X",IF(OR(AND(Responses!$AM$7&gt;=2,Responses!$D$7+Responses!$E$7&gt;=6),AND(Responses!$AM$7=1,Responses!$C$7&gt;=7)),"Y","–")))</x:f>
        <x:v>#N/A</x:v>
      </x:c>
      <x:c r="AW6" s="4" t="str">
        <x:f>IF(Responses!$BE$7="","",IF(OR(Responses!$BE$7&lt;25,Responses!$BE$7&gt;150),"X",IF(AND(Responses!$BE$7&gt;=45,Responses!$BE$7&lt;=100),"Y","–")))</x:f>
      </x:c>
      <x:c r="AX6" s="4" t="e">
        <x:f>IF(OR(AR6="",IF($B$6="X",AB6,L6)=""),"",ABS(AR6-IF($B$6="X",AB6,L6)))</x:f>
        <x:v>#N/A</x:v>
      </x:c>
      <x:c r="AY6" s="4" t="e">
        <x:f>IF(AX6="","",IF(AX6&gt;0.25,"X",IF(AX6=0,"Y","–")))</x:f>
        <x:v>#N/A</x:v>
      </x:c>
      <x:c r="AZ6" s="4" t="n">
        <x:f>(Responses!$AP$7=INDEX(VignetteKeys!$B$2:$B$3,MATCH($B$6,VignetteKeys!$A$2:$A$3,0)))*1+(Responses!$AQ$7=INDEX(VignetteKeys!$C$2:$C$3,MATCH($B$6,VignetteKeys!$A$2:$A$3,0)))*1+(Responses!$AR$7=INDEX(VignetteKeys!$D$2:$D$3,MATCH($B$6,VignetteKeys!$A$2:$A$3,0)))*1+(Responses!$AS$7=INDEX(VignetteKeys!$E$2:$E$3,MATCH($B$6,VignetteKeys!$A$2:$A$3,0)))*1</x:f>
        <x:v>4</x:v>
      </x:c>
      <x:c r="BA6" s="4" t="str">
        <x:f>IF(Responses!$AP$7="","",IF(OR(AND(Responses!$AP$7&lt;&gt;INDEX(VignetteKeys!$B$2:$B$3,MATCH($B$6,VignetteKeys!$A$2:$A$3,0)),Responses!$AQ$7&lt;&gt;INDEX(VignetteKeys!$C$2:$C$3,MATCH($B$6,VignetteKeys!$A$2:$A$3,0))),AND(Responses!$AR$7&lt;&gt;INDEX(VignetteKeys!$D$2:$D$3,MATCH($B$6,VignetteKeys!$A$2:$A$3,0)),Responses!$AS$7&lt;&gt;INDEX(VignetteKeys!$E$2:$E$3,MATCH($B$6,VignetteKeys!$A$2:$A$3,0)))),"X",IF(AZ6=4,"Y","–")))</x:f>
        <x:v>Y</x:v>
      </x:c>
      <x:c r="BB6" s="4" t="str">
        <x:f>IF(Responses!$AT$7="","",IF(Responses!$AT$7&lt;&gt;4,"X","Y"))</x:f>
        <x:v>Y</x:v>
      </x:c>
      <x:c r="BC6" s="4" t="n">
        <x:f>IF(COUNT(Responses!$AU$7:$BD$7)&lt;10,"",((Responses!$AU$7-1)+(Responses!$AW$7-1)+(Responses!$AY$7-1)+(Responses!$BA$7-1)+(Responses!$BC$7-1)+(5-Responses!$AV$7)+(5-Responses!$AX$7)+(5-Responses!$AZ$7)+(5-Responses!$BB$7)+(5-Responses!$BD$7))*2.5)</x:f>
        <x:v>80</x:v>
      </x:c>
      <x:c r="BD6" s="4" t="str">
        <x:f>IF(BC6="","",IF(BC6&lt;50,"X",IF(BC6&gt;=68,"Y","–")))</x:f>
        <x:v>Y</x:v>
      </x:c>
      <x:c r="BE6" s="4" t="e">
        <x:f>IF((IF(AND(I6&lt;&gt;"A",ISNUMBER(Responses!$Q$7)),1,0)+IF(AND(Q6&lt;&gt;"A",ISNUMBER(Responses!$W$7)),1,0)+IF(AND(Y6&lt;&gt;"A",ISNUMBER(Responses!$AC$7)),1,0)+IF(AND(AG6&lt;&gt;"A",ISNUMBER(Responses!$AI$7)),1,0)+IF(AND(AO6&lt;&gt;"A",ISNUMBER(Responses!$AO$7)),1,0))=0,"",ROUND((IF(AND(I6&lt;&gt;"A",ISNUMBER(Responses!$Q$7)),Responses!$Q$7,0)+IF(AND(Q6&lt;&gt;"A",ISNUMBER(Responses!$W$7)),Responses!$W$7,0)+IF(AND(Y6&lt;&gt;"A",ISNUMBER(Responses!$AC$7)),Responses!$AC$7,0)+IF(AND(AG6&lt;&gt;"A",ISNUMBER(Responses!$AI$7)),Responses!$AI$7,0)+IF(AND(AO6&lt;&gt;"A",ISNUMBER(Responses!$AO$7)),Responses!$AO$7,0))/(IF(AND(I6&lt;&gt;"A",ISNUMBER(Responses!$Q$7)),1,0)+IF(AND(Q6&lt;&gt;"A",ISNUMBER(Responses!$W$7)),1,0)+IF(AND(Y6&lt;&gt;"A",ISNUMBER(Responses!$AC$7)),1,0)+IF(AND(AG6&lt;&gt;"A",ISNUMBER(Responses!$AI$7)),1,0)+IF(AND(AO6&lt;&gt;"A",ISNUMBER(Responses!$AO$7)),1,0)),2))</x:f>
        <x:v>#N/A</x:v>
      </x:c>
      <x:c r="BF6" s="4" t="e">
        <x:f>IF((IF(AND(I6="A",ISNUMBER(Responses!$Q$7)),1,0)+IF(AND(Q6="A",ISNUMBER(Responses!$W$7)),1,0)+IF(AND(Y6="A",ISNUMBER(Responses!$AC$7)),1,0)+IF(AND(AG6="A",ISNUMBER(Responses!$AI$7)),1,0)+IF(AND(AO6="A",ISNUMBER(Responses!$AO$7)),1,0))=0,"",ROUND((IF(AND(I6="A",ISNUMBER(Responses!$Q$7)),Responses!$Q$7,0)+IF(AND(Q6="A",ISNUMBER(Responses!$W$7)),Responses!$W$7,0)+IF(AND(Y6="A",ISNUMBER(Responses!$AC$7)),Responses!$AC$7,0)+IF(AND(AG6="A",ISNUMBER(Responses!$AI$7)),Responses!$AI$7,0)+IF(AND(AO6="A",ISNUMBER(Responses!$AO$7)),Responses!$AO$7,0))/(IF(AND(I6="A",ISNUMBER(Responses!$Q$7)),1,0)+IF(AND(Q6="A",ISNUMBER(Responses!$W$7)),1,0)+IF(AND(Y6="A",ISNUMBER(Responses!$AC$7)),1,0)+IF(AND(AG6="A",ISNUMBER(Responses!$AI$7)),1,0)+IF(AND(AO6="A",ISNUMBER(Responses!$AO$7)),1,0)),2))</x:f>
        <x:v>#N/A</x:v>
      </x:c>
      <x:c r="BG6" s="4" t="e">
        <x:f>IF(OR(BE6="",BF6=""),"",IF(BF6-BE6&gt;=3,"X",IF(BE6&gt;=BF6,"Y","–")))</x:f>
        <x:v>#N/A</x:v>
      </x:c>
      <x:c r="BH6" s="4" t="e">
        <x:f>(D6="X")*1+(F6="X")*1+(H6="X")*1+(K6="X")*1+(N6="X")*1+(O6="X")*1+(P6="X")*1+(S6="X")*1+(V6="X")*1+(W6="X")*1+(X6="X")*1+(AA6="X")*1+(AD6="X")*1+(AE6="X")*1+(AF6="X")*1+(AI6="X")*1+(AL6="X")*1+(AM6="X")*1+(AN6="X")*1+(AQ6="X")*1+(AT6="X")*1+(AU6="X")*1+(AV6="X")*1+(AW6="X")*1+(AY6="X")*1+(BA6="X")*1+(BB6="X")*1+(BD6="X")*1+(BG6="X")*1</x:f>
        <x:v>#N/A</x:v>
      </x:c>
    </x:row>
    <x:row r="7">
      <x:c r="A7" s="4" t="str">
        <x:f>Responses!$A$8</x:f>
        <x:v>P06</x:v>
      </x:c>
      <x:c r="B7" s="4" t="str">
        <x:f>Responses!$B$8</x:f>
        <x:v>Y</x:v>
      </x:c>
      <x:c r="C7" s="4" t="n">
        <x:f>SUM(Responses!$C$8,Responses!$D$8,Responses!$E$8)</x:f>
        <x:v>10</x:v>
      </x:c>
      <x:c r="D7" s="4" t="str">
        <x:f>IF(C7=0,"",IF(C7&lt;&gt;10,"X","Y"))</x:f>
        <x:v>Y</x:v>
      </x:c>
      <x:c r="E7" s="4" t="n">
        <x:f>IF(OR(Responses!$F$8="",Responses!$F$8&gt;6),"",MAX(ABS(Responses!$C$8-INDEX(Profiles!$C$2:$C$7,Responses!$F$8)),ABS(Responses!$D$8-INDEX(Profiles!$D$2:$D$7,Responses!$F$8)),ABS(Responses!$E$8-INDEX(Profiles!$E$2:$E$7,Responses!$F$8))))</x:f>
        <x:v>3</x:v>
      </x:c>
      <x:c r="F7" s="4" t="str">
        <x:f>IF(E7="","",IF(E7&gt;=4,"X",IF(E7&lt;=2,"Y","–")))</x:f>
        <x:v>–</x:v>
      </x:c>
      <x:c r="G7" s="4" t="n">
        <x:f>(Responses!$G$8=2)*1+(Responses!$H$8=1)*1+(Responses!$I$8=2)*1+(Responses!$J$8=2)*1+(Responses!$K$8=2)*1</x:f>
        <x:v>5</x:v>
      </x:c>
      <x:c r="H7" s="4" t="str">
        <x:f>IF(Responses!$G$8="","",IF(G7&lt;=3,"X",IF(G7=5,"Y","–")))</x:f>
        <x:v>Y</x:v>
      </x:c>
      <x:c r="I7" s="4" t="e">
        <x:f>INDEX(Sequence!$D$2:$D$11,MATCH(1,INDEX((Sequence!$A$2:$A$11=$B$7)*(Sequence!$B$2:$B$11=1),0),0))</x:f>
        <x:v>#N/A</x:v>
      </x:c>
      <x:c r="J7" s="4" t="n">
        <x:f>(Responses!$L$8=SUMIFS(Sequence!$E:$E,Sequence!$A:$A,$B$7,Sequence!$B:$B,1))*1+(Responses!$M$8=SUMIFS(Sequence!$F:$F,Sequence!$A:$A,$B$7,Sequence!$B:$B,1))*1+(Responses!$N$8=SUMIFS(Sequence!$G:$G,Sequence!$A:$A,$B$7,Sequence!$B:$B,1))*1</x:f>
        <x:v>3</x:v>
      </x:c>
      <x:c r="K7" s="4" t="str">
        <x:f>IF(Responses!$L$8="","",IF(J7&lt;=1,"X",IF(J7=3,"Y","–")))</x:f>
        <x:v>Y</x:v>
      </x:c>
      <x:c r="L7" s="4" t="e">
        <x:f>IF(OR(I7="A",Responses!$O$8=""),"",ROUND(_xlfn.MAXIFS(Data!$O$2:$O$26,Data!$B$2:$B$26,SUMIFS(Sequence!$C:$C,Sequence!$A:$A,$B$7,Sequence!$B:$B,1),Data!$H$2:$H$26,1)-SUMIFS(Data!$O$2:$O$26,Data!$A$2:$A$26,SUMIFS(Sequence!$C:$C,Sequence!$A:$A,$B$7,Sequence!$B:$B,1)&amp;"|"&amp;IF(I7="R",INDEX(Repetition!$D$2:$D$20,MATCH($B$7&amp;"|"&amp;Responses!$O$8,Repetition!$A$2:$A$20,0)),Responses!$O$8)),3))</x:f>
        <x:v>#N/A</x:v>
      </x:c>
      <x:c r="M7" s="4" t="e">
        <x:f>IF(I7="A","",ROUND(_xlfn.MAXIFS(Data!$O$2:$O$26,Data!$B$2:$B$26,SUMIFS(Sequence!$C:$C,Sequence!$A:$A,$B$7,Sequence!$B:$B,1),Data!$H$2:$H$26,1)-SUMIFS(Data!$O$2:$O$26,Data!$A$2:$A$26,SUMIFS(Sequence!$C:$C,Sequence!$A:$A,$B$7,Sequence!$B:$B,1)&amp;"|"&amp;"N"),3))</x:f>
        <x:v>#N/A</x:v>
      </x:c>
      <x:c r="N7" s="4" t="e">
        <x:f>IF(L7="","",IF(OR(L7&gt;=0.5,AND(M7&gt;0.1,L7&gt;=M7)),"X",IF(L7&lt;=0.1,"Y","–")))</x:f>
        <x:v>#N/A</x:v>
      </x:c>
      <x:c r="O7" s="4" t="e">
        <x:f>IF(OR(I7="A",Responses!$P$8="",Responses!$P$8=0),"",IF(_xlfn.MAXIFS(Data!$O$2:$O$26,Data!$B$2:$B$26,SUMIFS(Sequence!$C:$C,Sequence!$A:$A,$B$7,Sequence!$B:$B,1),Data!$I$2:$I$26,1)-SUMIFS(Data!$O$2:$O$26,Data!$A$2:$A$26,SUMIFS(Sequence!$C:$C,Sequence!$A:$A,$B$7,Sequence!$B:$B,1)&amp;"|"&amp;INDEX(Selector!$D$2:$D$37,MATCH(SUMIFS(Sequence!$C:$C,Sequence!$A:$A,$B$7,Sequence!$B:$B,1)*100+ROUND(Responses!$P$8*10,0),Selector!$A$2:$A$37,0)))&gt;=0.3,"X",IF(_xlfn.MAXIFS(Data!$O$2:$O$26,Data!$B$2:$B$26,SUMIFS(Sequence!$C:$C,Sequence!$A:$A,$B$7,Sequence!$B:$B,1),Data!$I$2:$I$26,1)-SUMIFS(Data!$O$2:$O$26,Data!$A$2:$A$26,SUMIFS(Sequence!$C:$C,Sequence!$A:$A,$B$7,Sequence!$B:$B,1)&amp;"|"&amp;INDEX(Selector!$D$2:$D$37,MATCH(SUMIFS(Sequence!$C:$C,Sequence!$A:$A,$B$7,Sequence!$B:$B,1)*100+ROUND(Responses!$P$8*10,0),Selector!$A$2:$A$37,0)))&lt;=0.05,"Y","–")))</x:f>
        <x:v>#N/A</x:v>
      </x:c>
      <x:c r="P7" s="4" t="e">
        <x:f>IF(OR(I7&lt;&gt;"A",Responses!$O$8=""),"",IF(AND(Responses!$O$8=1,Responses!$Q$8&gt;=6,Responses!$D$8+Responses!$E$8&gt;=6),"X",IF(OR(AND(Responses!$O$8&gt;=2,Responses!$D$8+Responses!$E$8&gt;=6),AND(Responses!$O$8=1,Responses!$C$8&gt;=7)),"Y","–")))</x:f>
        <x:v>#N/A</x:v>
      </x:c>
      <x:c r="Q7" s="4" t="e">
        <x:f>INDEX(Sequence!$D$2:$D$11,MATCH(1,INDEX((Sequence!$A$2:$A$11=$B$7)*(Sequence!$B$2:$B$11=2),0),0))</x:f>
        <x:v>#N/A</x:v>
      </x:c>
      <x:c r="R7" s="4" t="n">
        <x:f>(Responses!$R$8=SUMIFS(Sequence!$E:$E,Sequence!$A:$A,$B$7,Sequence!$B:$B,2))*1+(Responses!$S$8=SUMIFS(Sequence!$F:$F,Sequence!$A:$A,$B$7,Sequence!$B:$B,2))*1+(Responses!$T$8=SUMIFS(Sequence!$G:$G,Sequence!$A:$A,$B$7,Sequence!$B:$B,2))*1</x:f>
        <x:v>3</x:v>
      </x:c>
      <x:c r="S7" s="4" t="str">
        <x:f>IF(Responses!$R$8="","",IF(R7&lt;=1,"X",IF(R7=3,"Y","–")))</x:f>
        <x:v>Y</x:v>
      </x:c>
      <x:c r="T7" s="4" t="e">
        <x:f>IF(OR(Q7="A",Responses!$U$8=""),"",ROUND(_xlfn.MAXIFS(Data!$O$2:$O$26,Data!$B$2:$B$26,SUMIFS(Sequence!$C:$C,Sequence!$A:$A,$B$7,Sequence!$B:$B,2),Data!$H$2:$H$26,1)-SUMIFS(Data!$O$2:$O$26,Data!$A$2:$A$26,SUMIFS(Sequence!$C:$C,Sequence!$A:$A,$B$7,Sequence!$B:$B,2)&amp;"|"&amp;IF(Q7="R",INDEX(Repetition!$D$2:$D$20,MATCH($B$7&amp;"|"&amp;Responses!$U$8,Repetition!$A$2:$A$20,0)),Responses!$U$8)),3))</x:f>
        <x:v>#N/A</x:v>
      </x:c>
      <x:c r="U7" s="4" t="e">
        <x:f>IF(Q7="A","",ROUND(_xlfn.MAXIFS(Data!$O$2:$O$26,Data!$B$2:$B$26,SUMIFS(Sequence!$C:$C,Sequence!$A:$A,$B$7,Sequence!$B:$B,2),Data!$H$2:$H$26,1)-SUMIFS(Data!$O$2:$O$26,Data!$A$2:$A$26,SUMIFS(Sequence!$C:$C,Sequence!$A:$A,$B$7,Sequence!$B:$B,2)&amp;"|"&amp;"N"),3))</x:f>
        <x:v>#N/A</x:v>
      </x:c>
      <x:c r="V7" s="4" t="e">
        <x:f>IF(T7="","",IF(OR(T7&gt;=0.5,AND(U7&gt;0.1,T7&gt;=U7)),"X",IF(T7&lt;=0.1,"Y","–")))</x:f>
        <x:v>#N/A</x:v>
      </x:c>
      <x:c r="W7" s="4" t="e">
        <x:f>IF(OR(Q7="A",Responses!$V$8="",Responses!$V$8=0),"",IF(_xlfn.MAXIFS(Data!$O$2:$O$26,Data!$B$2:$B$26,SUMIFS(Sequence!$C:$C,Sequence!$A:$A,$B$7,Sequence!$B:$B,2),Data!$I$2:$I$26,1)-SUMIFS(Data!$O$2:$O$26,Data!$A$2:$A$26,SUMIFS(Sequence!$C:$C,Sequence!$A:$A,$B$7,Sequence!$B:$B,2)&amp;"|"&amp;INDEX(Selector!$D$2:$D$37,MATCH(SUMIFS(Sequence!$C:$C,Sequence!$A:$A,$B$7,Sequence!$B:$B,2)*100+ROUND(Responses!$V$8*10,0),Selector!$A$2:$A$37,0)))&gt;=0.3,"X",IF(_xlfn.MAXIFS(Data!$O$2:$O$26,Data!$B$2:$B$26,SUMIFS(Sequence!$C:$C,Sequence!$A:$A,$B$7,Sequence!$B:$B,2),Data!$I$2:$I$26,1)-SUMIFS(Data!$O$2:$O$26,Data!$A$2:$A$26,SUMIFS(Sequence!$C:$C,Sequence!$A:$A,$B$7,Sequence!$B:$B,2)&amp;"|"&amp;INDEX(Selector!$D$2:$D$37,MATCH(SUMIFS(Sequence!$C:$C,Sequence!$A:$A,$B$7,Sequence!$B:$B,2)*100+ROUND(Responses!$V$8*10,0),Selector!$A$2:$A$37,0)))&lt;=0.05,"Y","–")))</x:f>
        <x:v>#N/A</x:v>
      </x:c>
      <x:c r="X7" s="4" t="e">
        <x:f>IF(OR(Q7&lt;&gt;"A",Responses!$U$8=""),"",IF(AND(Responses!$U$8=1,Responses!$W$8&gt;=6,Responses!$D$8+Responses!$E$8&gt;=6),"X",IF(OR(AND(Responses!$U$8&gt;=2,Responses!$D$8+Responses!$E$8&gt;=6),AND(Responses!$U$8=1,Responses!$C$8&gt;=7)),"Y","–")))</x:f>
        <x:v>#N/A</x:v>
      </x:c>
      <x:c r="Y7" s="4" t="e">
        <x:f>INDEX(Sequence!$D$2:$D$11,MATCH(1,INDEX((Sequence!$A$2:$A$11=$B$7)*(Sequence!$B$2:$B$11=3),0),0))</x:f>
        <x:v>#N/A</x:v>
      </x:c>
      <x:c r="Z7" s="4" t="n">
        <x:f>(Responses!$X$8=SUMIFS(Sequence!$E:$E,Sequence!$A:$A,$B$7,Sequence!$B:$B,3))*1+(Responses!$Y$8=SUMIFS(Sequence!$F:$F,Sequence!$A:$A,$B$7,Sequence!$B:$B,3))*1+(Responses!$Z$8=SUMIFS(Sequence!$G:$G,Sequence!$A:$A,$B$7,Sequence!$B:$B,3))*1</x:f>
        <x:v>2</x:v>
      </x:c>
      <x:c r="AA7" s="4" t="str">
        <x:f>IF(Responses!$X$8="","",IF(Z7&lt;=1,"X",IF(Z7=3,"Y","–")))</x:f>
        <x:v>–</x:v>
      </x:c>
      <x:c r="AB7" s="4" t="e">
        <x:f>IF(OR(Y7="A",Responses!$AA$8=""),"",ROUND(_xlfn.MAXIFS(Data!$O$2:$O$26,Data!$B$2:$B$26,SUMIFS(Sequence!$C:$C,Sequence!$A:$A,$B$7,Sequence!$B:$B,3),Data!$H$2:$H$26,1)-SUMIFS(Data!$O$2:$O$26,Data!$A$2:$A$26,SUMIFS(Sequence!$C:$C,Sequence!$A:$A,$B$7,Sequence!$B:$B,3)&amp;"|"&amp;IF(Y7="R",INDEX(Repetition!$D$2:$D$20,MATCH($B$7&amp;"|"&amp;Responses!$AA$8,Repetition!$A$2:$A$20,0)),Responses!$AA$8)),3))</x:f>
        <x:v>#N/A</x:v>
      </x:c>
      <x:c r="AC7" s="4" t="e">
        <x:f>IF(Y7="A","",ROUND(_xlfn.MAXIFS(Data!$O$2:$O$26,Data!$B$2:$B$26,SUMIFS(Sequence!$C:$C,Sequence!$A:$A,$B$7,Sequence!$B:$B,3),Data!$H$2:$H$26,1)-SUMIFS(Data!$O$2:$O$26,Data!$A$2:$A$26,SUMIFS(Sequence!$C:$C,Sequence!$A:$A,$B$7,Sequence!$B:$B,3)&amp;"|"&amp;"N"),3))</x:f>
        <x:v>#N/A</x:v>
      </x:c>
      <x:c r="AD7" s="4" t="e">
        <x:f>IF(AB7="","",IF(OR(AB7&gt;=0.5,AND(AC7&gt;0.1,AB7&gt;=AC7)),"X",IF(AB7&lt;=0.1,"Y","–")))</x:f>
        <x:v>#N/A</x:v>
      </x:c>
      <x:c r="AE7" s="4" t="e">
        <x:f>IF(OR(Y7="A",Responses!$AB$8="",Responses!$AB$8=0),"",IF(_xlfn.MAXIFS(Data!$O$2:$O$26,Data!$B$2:$B$26,SUMIFS(Sequence!$C:$C,Sequence!$A:$A,$B$7,Sequence!$B:$B,3),Data!$I$2:$I$26,1)-SUMIFS(Data!$O$2:$O$26,Data!$A$2:$A$26,SUMIFS(Sequence!$C:$C,Sequence!$A:$A,$B$7,Sequence!$B:$B,3)&amp;"|"&amp;INDEX(Selector!$D$2:$D$37,MATCH(SUMIFS(Sequence!$C:$C,Sequence!$A:$A,$B$7,Sequence!$B:$B,3)*100+ROUND(Responses!$AB$8*10,0),Selector!$A$2:$A$37,0)))&gt;=0.3,"X",IF(_xlfn.MAXIFS(Data!$O$2:$O$26,Data!$B$2:$B$26,SUMIFS(Sequence!$C:$C,Sequence!$A:$A,$B$7,Sequence!$B:$B,3),Data!$I$2:$I$26,1)-SUMIFS(Data!$O$2:$O$26,Data!$A$2:$A$26,SUMIFS(Sequence!$C:$C,Sequence!$A:$A,$B$7,Sequence!$B:$B,3)&amp;"|"&amp;INDEX(Selector!$D$2:$D$37,MATCH(SUMIFS(Sequence!$C:$C,Sequence!$A:$A,$B$7,Sequence!$B:$B,3)*100+ROUND(Responses!$AB$8*10,0),Selector!$A$2:$A$37,0)))&lt;=0.05,"Y","–")))</x:f>
        <x:v>#N/A</x:v>
      </x:c>
      <x:c r="AF7" s="4" t="e">
        <x:f>IF(OR(Y7&lt;&gt;"A",Responses!$AA$8=""),"",IF(AND(Responses!$AA$8=1,Responses!$AC$8&gt;=6,Responses!$D$8+Responses!$E$8&gt;=6),"X",IF(OR(AND(Responses!$AA$8&gt;=2,Responses!$D$8+Responses!$E$8&gt;=6),AND(Responses!$AA$8=1,Responses!$C$8&gt;=7)),"Y","–")))</x:f>
        <x:v>#N/A</x:v>
      </x:c>
      <x:c r="AG7" s="4" t="e">
        <x:f>INDEX(Sequence!$D$2:$D$11,MATCH(1,INDEX((Sequence!$A$2:$A$11=$B$7)*(Sequence!$B$2:$B$11=4),0),0))</x:f>
        <x:v>#N/A</x:v>
      </x:c>
      <x:c r="AH7" s="4" t="n">
        <x:f>(Responses!$AD$8=SUMIFS(Sequence!$E:$E,Sequence!$A:$A,$B$7,Sequence!$B:$B,4))*1+(Responses!$AE$8=SUMIFS(Sequence!$F:$F,Sequence!$A:$A,$B$7,Sequence!$B:$B,4))*1+(Responses!$AF$8=SUMIFS(Sequence!$G:$G,Sequence!$A:$A,$B$7,Sequence!$B:$B,4))*1</x:f>
        <x:v>1</x:v>
      </x:c>
      <x:c r="AI7" s="4" t="str">
        <x:f>IF(Responses!$AD$8="","",IF(AH7&lt;=1,"X",IF(AH7=3,"Y","–")))</x:f>
        <x:v>X</x:v>
      </x:c>
      <x:c r="AJ7" s="4" t="e">
        <x:f>IF(OR(AG7="A",Responses!$AG$8=""),"",ROUND(_xlfn.MAXIFS(Data!$O$2:$O$26,Data!$B$2:$B$26,SUMIFS(Sequence!$C:$C,Sequence!$A:$A,$B$7,Sequence!$B:$B,4),Data!$H$2:$H$26,1)-SUMIFS(Data!$O$2:$O$26,Data!$A$2:$A$26,SUMIFS(Sequence!$C:$C,Sequence!$A:$A,$B$7,Sequence!$B:$B,4)&amp;"|"&amp;IF(AG7="R",INDEX(Repetition!$D$2:$D$20,MATCH($B$7&amp;"|"&amp;Responses!$AG$8,Repetition!$A$2:$A$20,0)),Responses!$AG$8)),3))</x:f>
        <x:v>#N/A</x:v>
      </x:c>
      <x:c r="AK7" s="4" t="e">
        <x:f>IF(AG7="A","",ROUND(_xlfn.MAXIFS(Data!$O$2:$O$26,Data!$B$2:$B$26,SUMIFS(Sequence!$C:$C,Sequence!$A:$A,$B$7,Sequence!$B:$B,4),Data!$H$2:$H$26,1)-SUMIFS(Data!$O$2:$O$26,Data!$A$2:$A$26,SUMIFS(Sequence!$C:$C,Sequence!$A:$A,$B$7,Sequence!$B:$B,4)&amp;"|"&amp;"N"),3))</x:f>
        <x:v>#N/A</x:v>
      </x:c>
      <x:c r="AL7" s="4" t="e">
        <x:f>IF(AJ7="","",IF(OR(AJ7&gt;=0.5,AND(AK7&gt;0.1,AJ7&gt;=AK7)),"X",IF(AJ7&lt;=0.1,"Y","–")))</x:f>
        <x:v>#N/A</x:v>
      </x:c>
      <x:c r="AM7" s="4" t="e">
        <x:f>IF(OR(AG7="A",Responses!$AH$8="",Responses!$AH$8=0),"",IF(_xlfn.MAXIFS(Data!$O$2:$O$26,Data!$B$2:$B$26,SUMIFS(Sequence!$C:$C,Sequence!$A:$A,$B$7,Sequence!$B:$B,4),Data!$I$2:$I$26,1)-SUMIFS(Data!$O$2:$O$26,Data!$A$2:$A$26,SUMIFS(Sequence!$C:$C,Sequence!$A:$A,$B$7,Sequence!$B:$B,4)&amp;"|"&amp;INDEX(Selector!$D$2:$D$37,MATCH(SUMIFS(Sequence!$C:$C,Sequence!$A:$A,$B$7,Sequence!$B:$B,4)*100+ROUND(Responses!$AH$8*10,0),Selector!$A$2:$A$37,0)))&gt;=0.3,"X",IF(_xlfn.MAXIFS(Data!$O$2:$O$26,Data!$B$2:$B$26,SUMIFS(Sequence!$C:$C,Sequence!$A:$A,$B$7,Sequence!$B:$B,4),Data!$I$2:$I$26,1)-SUMIFS(Data!$O$2:$O$26,Data!$A$2:$A$26,SUMIFS(Sequence!$C:$C,Sequence!$A:$A,$B$7,Sequence!$B:$B,4)&amp;"|"&amp;INDEX(Selector!$D$2:$D$37,MATCH(SUMIFS(Sequence!$C:$C,Sequence!$A:$A,$B$7,Sequence!$B:$B,4)*100+ROUND(Responses!$AH$8*10,0),Selector!$A$2:$A$37,0)))&lt;=0.05,"Y","–")))</x:f>
        <x:v>#N/A</x:v>
      </x:c>
      <x:c r="AN7" s="4" t="e">
        <x:f>IF(OR(AG7&lt;&gt;"A",Responses!$AG$8=""),"",IF(AND(Responses!$AG$8=1,Responses!$AI$8&gt;=6,Responses!$D$8+Responses!$E$8&gt;=6),"X",IF(OR(AND(Responses!$AG$8&gt;=2,Responses!$D$8+Responses!$E$8&gt;=6),AND(Responses!$AG$8=1,Responses!$C$8&gt;=7)),"Y","–")))</x:f>
        <x:v>#N/A</x:v>
      </x:c>
      <x:c r="AO7" s="4" t="e">
        <x:f>INDEX(Sequence!$D$2:$D$11,MATCH(1,INDEX((Sequence!$A$2:$A$11=$B$7)*(Sequence!$B$2:$B$11=5),0),0))</x:f>
        <x:v>#N/A</x:v>
      </x:c>
      <x:c r="AP7" s="4" t="n">
        <x:f>(Responses!$AJ$8=SUMIFS(Sequence!$E:$E,Sequence!$A:$A,$B$7,Sequence!$B:$B,5))*1+(Responses!$AK$8=SUMIFS(Sequence!$F:$F,Sequence!$A:$A,$B$7,Sequence!$B:$B,5))*1+(Responses!$AL$8=SUMIFS(Sequence!$G:$G,Sequence!$A:$A,$B$7,Sequence!$B:$B,5))*1</x:f>
        <x:v>3</x:v>
      </x:c>
      <x:c r="AQ7" s="4" t="str">
        <x:f>IF(Responses!$AJ$8="","",IF(AP7&lt;=1,"X",IF(AP7=3,"Y","–")))</x:f>
        <x:v>Y</x:v>
      </x:c>
      <x:c r="AR7" s="4" t="e">
        <x:f>IF(OR(AO7="A",Responses!$AM$8=""),"",ROUND(_xlfn.MAXIFS(Data!$O$2:$O$26,Data!$B$2:$B$26,SUMIFS(Sequence!$C:$C,Sequence!$A:$A,$B$7,Sequence!$B:$B,5),Data!$H$2:$H$26,1)-SUMIFS(Data!$O$2:$O$26,Data!$A$2:$A$26,SUMIFS(Sequence!$C:$C,Sequence!$A:$A,$B$7,Sequence!$B:$B,5)&amp;"|"&amp;IF(AO7="R",INDEX(Repetition!$D$2:$D$20,MATCH($B$7&amp;"|"&amp;Responses!$AM$8,Repetition!$A$2:$A$20,0)),Responses!$AM$8)),3))</x:f>
        <x:v>#N/A</x:v>
      </x:c>
      <x:c r="AS7" s="4" t="e">
        <x:f>IF(AO7="A","",ROUND(_xlfn.MAXIFS(Data!$O$2:$O$26,Data!$B$2:$B$26,SUMIFS(Sequence!$C:$C,Sequence!$A:$A,$B$7,Sequence!$B:$B,5),Data!$H$2:$H$26,1)-SUMIFS(Data!$O$2:$O$26,Data!$A$2:$A$26,SUMIFS(Sequence!$C:$C,Sequence!$A:$A,$B$7,Sequence!$B:$B,5)&amp;"|"&amp;"N"),3))</x:f>
        <x:v>#N/A</x:v>
      </x:c>
      <x:c r="AT7" s="4" t="e">
        <x:f>IF(AR7="","",IF(OR(AR7&gt;=0.5,AND(AS7&gt;0.1,AR7&gt;=AS7)),"X",IF(AR7&lt;=0.1,"Y","–")))</x:f>
        <x:v>#N/A</x:v>
      </x:c>
      <x:c r="AU7" s="4" t="e">
        <x:f>IF(OR(AO7="A",Responses!$AN$8="",Responses!$AN$8=0),"",IF(_xlfn.MAXIFS(Data!$O$2:$O$26,Data!$B$2:$B$26,SUMIFS(Sequence!$C:$C,Sequence!$A:$A,$B$7,Sequence!$B:$B,5),Data!$I$2:$I$26,1)-SUMIFS(Data!$O$2:$O$26,Data!$A$2:$A$26,SUMIFS(Sequence!$C:$C,Sequence!$A:$A,$B$7,Sequence!$B:$B,5)&amp;"|"&amp;INDEX(Selector!$D$2:$D$37,MATCH(SUMIFS(Sequence!$C:$C,Sequence!$A:$A,$B$7,Sequence!$B:$B,5)*100+ROUND(Responses!$AN$8*10,0),Selector!$A$2:$A$37,0)))&gt;=0.3,"X",IF(_xlfn.MAXIFS(Data!$O$2:$O$26,Data!$B$2:$B$26,SUMIFS(Sequence!$C:$C,Sequence!$A:$A,$B$7,Sequence!$B:$B,5),Data!$I$2:$I$26,1)-SUMIFS(Data!$O$2:$O$26,Data!$A$2:$A$26,SUMIFS(Sequence!$C:$C,Sequence!$A:$A,$B$7,Sequence!$B:$B,5)&amp;"|"&amp;INDEX(Selector!$D$2:$D$37,MATCH(SUMIFS(Sequence!$C:$C,Sequence!$A:$A,$B$7,Sequence!$B:$B,5)*100+ROUND(Responses!$AN$8*10,0),Selector!$A$2:$A$37,0)))&lt;=0.05,"Y","–")))</x:f>
        <x:v>#N/A</x:v>
      </x:c>
      <x:c r="AV7" s="4" t="e">
        <x:f>IF(OR(AO7&lt;&gt;"A",Responses!$AM$8=""),"",IF(AND(Responses!$AM$8=1,Responses!$AO$8&gt;=6,Responses!$D$8+Responses!$E$8&gt;=6),"X",IF(OR(AND(Responses!$AM$8&gt;=2,Responses!$D$8+Responses!$E$8&gt;=6),AND(Responses!$AM$8=1,Responses!$C$8&gt;=7)),"Y","–")))</x:f>
        <x:v>#N/A</x:v>
      </x:c>
      <x:c r="AW7" s="4" t="str">
        <x:f>IF(Responses!$BE$8="","",IF(OR(Responses!$BE$8&lt;25,Responses!$BE$8&gt;150),"X",IF(AND(Responses!$BE$8&gt;=45,Responses!$BE$8&lt;=100),"Y","–")))</x:f>
      </x:c>
      <x:c r="AX7" s="4" t="e">
        <x:f>IF(OR(AR7="",IF($B$7="X",AB7,L7)=""),"",ABS(AR7-IF($B$7="X",AB7,L7)))</x:f>
        <x:v>#N/A</x:v>
      </x:c>
      <x:c r="AY7" s="4" t="e">
        <x:f>IF(AX7="","",IF(AX7&gt;0.25,"X",IF(AX7=0,"Y","–")))</x:f>
        <x:v>#N/A</x:v>
      </x:c>
      <x:c r="AZ7" s="4" t="n">
        <x:f>(Responses!$AP$8=INDEX(VignetteKeys!$B$2:$B$3,MATCH($B$7,VignetteKeys!$A$2:$A$3,0)))*1+(Responses!$AQ$8=INDEX(VignetteKeys!$C$2:$C$3,MATCH($B$7,VignetteKeys!$A$2:$A$3,0)))*1+(Responses!$AR$8=INDEX(VignetteKeys!$D$2:$D$3,MATCH($B$7,VignetteKeys!$A$2:$A$3,0)))*1+(Responses!$AS$8=INDEX(VignetteKeys!$E$2:$E$3,MATCH($B$7,VignetteKeys!$A$2:$A$3,0)))*1</x:f>
        <x:v>4</x:v>
      </x:c>
      <x:c r="BA7" s="4" t="str">
        <x:f>IF(Responses!$AP$8="","",IF(OR(AND(Responses!$AP$8&lt;&gt;INDEX(VignetteKeys!$B$2:$B$3,MATCH($B$7,VignetteKeys!$A$2:$A$3,0)),Responses!$AQ$8&lt;&gt;INDEX(VignetteKeys!$C$2:$C$3,MATCH($B$7,VignetteKeys!$A$2:$A$3,0))),AND(Responses!$AR$8&lt;&gt;INDEX(VignetteKeys!$D$2:$D$3,MATCH($B$7,VignetteKeys!$A$2:$A$3,0)),Responses!$AS$8&lt;&gt;INDEX(VignetteKeys!$E$2:$E$3,MATCH($B$7,VignetteKeys!$A$2:$A$3,0)))),"X",IF(AZ7=4,"Y","–")))</x:f>
        <x:v>Y</x:v>
      </x:c>
      <x:c r="BB7" s="4" t="str">
        <x:f>IF(Responses!$AT$8="","",IF(Responses!$AT$8&lt;&gt;4,"X","Y"))</x:f>
        <x:v>Y</x:v>
      </x:c>
      <x:c r="BC7" s="4" t="n">
        <x:f>IF(COUNT(Responses!$AU$8:$BD$8)&lt;10,"",((Responses!$AU$8-1)+(Responses!$AW$8-1)+(Responses!$AY$8-1)+(Responses!$BA$8-1)+(Responses!$BC$8-1)+(5-Responses!$AV$8)+(5-Responses!$AX$8)+(5-Responses!$AZ$8)+(5-Responses!$BB$8)+(5-Responses!$BD$8))*2.5)</x:f>
        <x:v>80</x:v>
      </x:c>
      <x:c r="BD7" s="4" t="str">
        <x:f>IF(BC7="","",IF(BC7&lt;50,"X",IF(BC7&gt;=68,"Y","–")))</x:f>
        <x:v>Y</x:v>
      </x:c>
      <x:c r="BE7" s="4" t="e">
        <x:f>IF((IF(AND(I7&lt;&gt;"A",ISNUMBER(Responses!$Q$8)),1,0)+IF(AND(Q7&lt;&gt;"A",ISNUMBER(Responses!$W$8)),1,0)+IF(AND(Y7&lt;&gt;"A",ISNUMBER(Responses!$AC$8)),1,0)+IF(AND(AG7&lt;&gt;"A",ISNUMBER(Responses!$AI$8)),1,0)+IF(AND(AO7&lt;&gt;"A",ISNUMBER(Responses!$AO$8)),1,0))=0,"",ROUND((IF(AND(I7&lt;&gt;"A",ISNUMBER(Responses!$Q$8)),Responses!$Q$8,0)+IF(AND(Q7&lt;&gt;"A",ISNUMBER(Responses!$W$8)),Responses!$W$8,0)+IF(AND(Y7&lt;&gt;"A",ISNUMBER(Responses!$AC$8)),Responses!$AC$8,0)+IF(AND(AG7&lt;&gt;"A",ISNUMBER(Responses!$AI$8)),Responses!$AI$8,0)+IF(AND(AO7&lt;&gt;"A",ISNUMBER(Responses!$AO$8)),Responses!$AO$8,0))/(IF(AND(I7&lt;&gt;"A",ISNUMBER(Responses!$Q$8)),1,0)+IF(AND(Q7&lt;&gt;"A",ISNUMBER(Responses!$W$8)),1,0)+IF(AND(Y7&lt;&gt;"A",ISNUMBER(Responses!$AC$8)),1,0)+IF(AND(AG7&lt;&gt;"A",ISNUMBER(Responses!$AI$8)),1,0)+IF(AND(AO7&lt;&gt;"A",ISNUMBER(Responses!$AO$8)),1,0)),2))</x:f>
        <x:v>#N/A</x:v>
      </x:c>
      <x:c r="BF7" s="4" t="e">
        <x:f>IF((IF(AND(I7="A",ISNUMBER(Responses!$Q$8)),1,0)+IF(AND(Q7="A",ISNUMBER(Responses!$W$8)),1,0)+IF(AND(Y7="A",ISNUMBER(Responses!$AC$8)),1,0)+IF(AND(AG7="A",ISNUMBER(Responses!$AI$8)),1,0)+IF(AND(AO7="A",ISNUMBER(Responses!$AO$8)),1,0))=0,"",ROUND((IF(AND(I7="A",ISNUMBER(Responses!$Q$8)),Responses!$Q$8,0)+IF(AND(Q7="A",ISNUMBER(Responses!$W$8)),Responses!$W$8,0)+IF(AND(Y7="A",ISNUMBER(Responses!$AC$8)),Responses!$AC$8,0)+IF(AND(AG7="A",ISNUMBER(Responses!$AI$8)),Responses!$AI$8,0)+IF(AND(AO7="A",ISNUMBER(Responses!$AO$8)),Responses!$AO$8,0))/(IF(AND(I7="A",ISNUMBER(Responses!$Q$8)),1,0)+IF(AND(Q7="A",ISNUMBER(Responses!$W$8)),1,0)+IF(AND(Y7="A",ISNUMBER(Responses!$AC$8)),1,0)+IF(AND(AG7="A",ISNUMBER(Responses!$AI$8)),1,0)+IF(AND(AO7="A",ISNUMBER(Responses!$AO$8)),1,0)),2))</x:f>
        <x:v>#N/A</x:v>
      </x:c>
      <x:c r="BG7" s="4" t="e">
        <x:f>IF(OR(BE7="",BF7=""),"",IF(BF7-BE7&gt;=3,"X",IF(BE7&gt;=BF7,"Y","–")))</x:f>
        <x:v>#N/A</x:v>
      </x:c>
      <x:c r="BH7" s="4" t="e">
        <x:f>(D7="X")*1+(F7="X")*1+(H7="X")*1+(K7="X")*1+(N7="X")*1+(O7="X")*1+(P7="X")*1+(S7="X")*1+(V7="X")*1+(W7="X")*1+(X7="X")*1+(AA7="X")*1+(AD7="X")*1+(AE7="X")*1+(AF7="X")*1+(AI7="X")*1+(AL7="X")*1+(AM7="X")*1+(AN7="X")*1+(AQ7="X")*1+(AT7="X")*1+(AU7="X")*1+(AV7="X")*1+(AW7="X")*1+(AY7="X")*1+(BA7="X")*1+(BB7="X")*1+(BD7="X")*1+(BG7="X")*1</x:f>
        <x:v>#N/A</x:v>
      </x:c>
    </x:row>
    <x:row r="8">
      <x:c r="A8" s="4" t="str">
        <x:f>Responses!$A$9</x:f>
        <x:v>P07</x:v>
      </x:c>
      <x:c r="B8" s="4" t="str">
        <x:f>Responses!$B$9</x:f>
        <x:v>X</x:v>
      </x:c>
      <x:c r="C8" s="4" t="n">
        <x:f>SUM(Responses!$C$9,Responses!$D$9,Responses!$E$9)</x:f>
        <x:v>10</x:v>
      </x:c>
      <x:c r="D8" s="4" t="str">
        <x:f>IF(C8=0,"",IF(C8&lt;&gt;10,"X","Y"))</x:f>
        <x:v>Y</x:v>
      </x:c>
      <x:c r="E8" s="4" t="n">
        <x:f>IF(OR(Responses!$F$9="",Responses!$F$9&gt;6),"",MAX(ABS(Responses!$C$9-INDEX(Profiles!$C$2:$C$7,Responses!$F$9)),ABS(Responses!$D$9-INDEX(Profiles!$D$2:$D$7,Responses!$F$9)),ABS(Responses!$E$9-INDEX(Profiles!$E$2:$E$7,Responses!$F$9))))</x:f>
        <x:v>1.5</x:v>
      </x:c>
      <x:c r="F8" s="4" t="str">
        <x:f>IF(E8="","",IF(E8&gt;=4,"X",IF(E8&lt;=2,"Y","–")))</x:f>
        <x:v>Y</x:v>
      </x:c>
      <x:c r="G8" s="4" t="n">
        <x:f>(Responses!$G$9=2)*1+(Responses!$H$9=1)*1+(Responses!$I$9=2)*1+(Responses!$J$9=2)*1+(Responses!$K$9=2)*1</x:f>
        <x:v>5</x:v>
      </x:c>
      <x:c r="H8" s="4" t="str">
        <x:f>IF(Responses!$G$9="","",IF(G8&lt;=3,"X",IF(G8=5,"Y","–")))</x:f>
        <x:v>Y</x:v>
      </x:c>
      <x:c r="I8" s="4" t="str">
        <x:f>INDEX(Sequence!$D$2:$D$11,MATCH(1,INDEX((Sequence!$A$2:$A$11=$B$8)*(Sequence!$B$2:$B$11=1),0),0))</x:f>
        <x:v>A</x:v>
      </x:c>
      <x:c r="J8" s="4" t="n">
        <x:f>(Responses!$L$9=SUMIFS(Sequence!$E:$E,Sequence!$A:$A,$B$8,Sequence!$B:$B,1))*1+(Responses!$M$9=SUMIFS(Sequence!$F:$F,Sequence!$A:$A,$B$8,Sequence!$B:$B,1))*1+(Responses!$N$9=SUMIFS(Sequence!$G:$G,Sequence!$A:$A,$B$8,Sequence!$B:$B,1))*1</x:f>
        <x:v>3</x:v>
      </x:c>
      <x:c r="K8" s="4" t="str">
        <x:f>IF(Responses!$L$9="","",IF(J8&lt;=1,"X",IF(J8=3,"Y","–")))</x:f>
        <x:v>Y</x:v>
      </x:c>
      <x:c r="L8" s="4" t="str">
        <x:f>IF(OR(I8="A",Responses!$O$9=""),"",ROUND(_xlfn.MAXIFS(Data!$P$2:$P$26,Data!$B$2:$B$26,SUMIFS(Sequence!$C:$C,Sequence!$A:$A,$B$8,Sequence!$B:$B,1),Data!$H$2:$H$26,1)-SUMIFS(Data!$P$2:$P$26,Data!$A$2:$A$26,SUMIFS(Sequence!$C:$C,Sequence!$A:$A,$B$8,Sequence!$B:$B,1)&amp;"|"&amp;IF(I8="R",INDEX(Repetition!$D$2:$D$20,MATCH($B$8&amp;"|"&amp;Responses!$O$9,Repetition!$A$2:$A$20,0)),Responses!$O$9)),3))</x:f>
      </x:c>
      <x:c r="M8" s="4" t="str">
        <x:f>IF(I8="A","",ROUND(_xlfn.MAXIFS(Data!$P$2:$P$26,Data!$B$2:$B$26,SUMIFS(Sequence!$C:$C,Sequence!$A:$A,$B$8,Sequence!$B:$B,1),Data!$H$2:$H$26,1)-SUMIFS(Data!$P$2:$P$26,Data!$A$2:$A$26,SUMIFS(Sequence!$C:$C,Sequence!$A:$A,$B$8,Sequence!$B:$B,1)&amp;"|"&amp;"N"),3))</x:f>
      </x:c>
      <x:c r="N8" s="4" t="str">
        <x:f>IF(L8="","",IF(OR(L8&gt;=0.5,AND(M8&gt;0.1,L8&gt;=M8)),"X",IF(L8&lt;=0.1,"Y","–")))</x:f>
      </x:c>
      <x:c r="O8" s="4" t="str">
        <x:f>IF(OR(I8="A",Responses!$P$9="",Responses!$P$9=0),"",IF(_xlfn.MAXIFS(Data!$P$2:$P$26,Data!$B$2:$B$26,SUMIFS(Sequence!$C:$C,Sequence!$A:$A,$B$8,Sequence!$B:$B,1),Data!$I$2:$I$26,1)-SUMIFS(Data!$P$2:$P$26,Data!$A$2:$A$26,SUMIFS(Sequence!$C:$C,Sequence!$A:$A,$B$8,Sequence!$B:$B,1)&amp;"|"&amp;INDEX(Selector!$D$2:$D$37,MATCH(SUMIFS(Sequence!$C:$C,Sequence!$A:$A,$B$8,Sequence!$B:$B,1)*100+ROUND(Responses!$P$9*10,0),Selector!$A$2:$A$37,0)))&gt;=0.3,"X",IF(_xlfn.MAXIFS(Data!$P$2:$P$26,Data!$B$2:$B$26,SUMIFS(Sequence!$C:$C,Sequence!$A:$A,$B$8,Sequence!$B:$B,1),Data!$I$2:$I$26,1)-SUMIFS(Data!$P$2:$P$26,Data!$A$2:$A$26,SUMIFS(Sequence!$C:$C,Sequence!$A:$A,$B$8,Sequence!$B:$B,1)&amp;"|"&amp;INDEX(Selector!$D$2:$D$37,MATCH(SUMIFS(Sequence!$C:$C,Sequence!$A:$A,$B$8,Sequence!$B:$B,1)*100+ROUND(Responses!$P$9*10,0),Selector!$A$2:$A$37,0)))&lt;=0.05,"Y","–")))</x:f>
      </x:c>
      <x:c r="P8" s="4" t="str">
        <x:f>IF(OR(I8&lt;&gt;"A",Responses!$O$9=""),"",IF(AND(Responses!$O$9=1,Responses!$Q$9&gt;=6,Responses!$D$9+Responses!$E$9&gt;=6),"X",IF(OR(AND(Responses!$O$9&gt;=2,Responses!$D$9+Responses!$E$9&gt;=6),AND(Responses!$O$9=1,Responses!$C$9&gt;=7)),"Y","–")))</x:f>
        <x:v>X</x:v>
      </x:c>
      <x:c r="Q8" s="4" t="e">
        <x:f>INDEX(Sequence!$D$2:$D$11,MATCH(1,INDEX((Sequence!$A$2:$A$11=$B$8)*(Sequence!$B$2:$B$11=2),0),0))</x:f>
        <x:v>#N/A</x:v>
      </x:c>
      <x:c r="R8" s="4" t="n">
        <x:f>(Responses!$R$9=SUMIFS(Sequence!$E:$E,Sequence!$A:$A,$B$8,Sequence!$B:$B,2))*1+(Responses!$S$9=SUMIFS(Sequence!$F:$F,Sequence!$A:$A,$B$8,Sequence!$B:$B,2))*1+(Responses!$T$9=SUMIFS(Sequence!$G:$G,Sequence!$A:$A,$B$8,Sequence!$B:$B,2))*1</x:f>
        <x:v>3</x:v>
      </x:c>
      <x:c r="S8" s="4" t="str">
        <x:f>IF(Responses!$R$9="","",IF(R8&lt;=1,"X",IF(R8=3,"Y","–")))</x:f>
        <x:v>Y</x:v>
      </x:c>
      <x:c r="T8" s="4" t="e">
        <x:f>IF(OR(Q8="A",Responses!$U$9=""),"",ROUND(_xlfn.MAXIFS(Data!$P$2:$P$26,Data!$B$2:$B$26,SUMIFS(Sequence!$C:$C,Sequence!$A:$A,$B$8,Sequence!$B:$B,2),Data!$H$2:$H$26,1)-SUMIFS(Data!$P$2:$P$26,Data!$A$2:$A$26,SUMIFS(Sequence!$C:$C,Sequence!$A:$A,$B$8,Sequence!$B:$B,2)&amp;"|"&amp;IF(Q8="R",INDEX(Repetition!$D$2:$D$20,MATCH($B$8&amp;"|"&amp;Responses!$U$9,Repetition!$A$2:$A$20,0)),Responses!$U$9)),3))</x:f>
        <x:v>#N/A</x:v>
      </x:c>
      <x:c r="U8" s="4" t="e">
        <x:f>IF(Q8="A","",ROUND(_xlfn.MAXIFS(Data!$P$2:$P$26,Data!$B$2:$B$26,SUMIFS(Sequence!$C:$C,Sequence!$A:$A,$B$8,Sequence!$B:$B,2),Data!$H$2:$H$26,1)-SUMIFS(Data!$P$2:$P$26,Data!$A$2:$A$26,SUMIFS(Sequence!$C:$C,Sequence!$A:$A,$B$8,Sequence!$B:$B,2)&amp;"|"&amp;"N"),3))</x:f>
        <x:v>#N/A</x:v>
      </x:c>
      <x:c r="V8" s="4" t="e">
        <x:f>IF(T8="","",IF(OR(T8&gt;=0.5,AND(U8&gt;0.1,T8&gt;=U8)),"X",IF(T8&lt;=0.1,"Y","–")))</x:f>
        <x:v>#N/A</x:v>
      </x:c>
      <x:c r="W8" s="4" t="e">
        <x:f>IF(OR(Q8="A",Responses!$V$9="",Responses!$V$9=0),"",IF(_xlfn.MAXIFS(Data!$P$2:$P$26,Data!$B$2:$B$26,SUMIFS(Sequence!$C:$C,Sequence!$A:$A,$B$8,Sequence!$B:$B,2),Data!$I$2:$I$26,1)-SUMIFS(Data!$P$2:$P$26,Data!$A$2:$A$26,SUMIFS(Sequence!$C:$C,Sequence!$A:$A,$B$8,Sequence!$B:$B,2)&amp;"|"&amp;INDEX(Selector!$D$2:$D$37,MATCH(SUMIFS(Sequence!$C:$C,Sequence!$A:$A,$B$8,Sequence!$B:$B,2)*100+ROUND(Responses!$V$9*10,0),Selector!$A$2:$A$37,0)))&gt;=0.3,"X",IF(_xlfn.MAXIFS(Data!$P$2:$P$26,Data!$B$2:$B$26,SUMIFS(Sequence!$C:$C,Sequence!$A:$A,$B$8,Sequence!$B:$B,2),Data!$I$2:$I$26,1)-SUMIFS(Data!$P$2:$P$26,Data!$A$2:$A$26,SUMIFS(Sequence!$C:$C,Sequence!$A:$A,$B$8,Sequence!$B:$B,2)&amp;"|"&amp;INDEX(Selector!$D$2:$D$37,MATCH(SUMIFS(Sequence!$C:$C,Sequence!$A:$A,$B$8,Sequence!$B:$B,2)*100+ROUND(Responses!$V$9*10,0),Selector!$A$2:$A$37,0)))&lt;=0.05,"Y","–")))</x:f>
        <x:v>#N/A</x:v>
      </x:c>
      <x:c r="X8" s="4" t="e">
        <x:f>IF(OR(Q8&lt;&gt;"A",Responses!$U$9=""),"",IF(AND(Responses!$U$9=1,Responses!$W$9&gt;=6,Responses!$D$9+Responses!$E$9&gt;=6),"X",IF(OR(AND(Responses!$U$9&gt;=2,Responses!$D$9+Responses!$E$9&gt;=6),AND(Responses!$U$9=1,Responses!$C$9&gt;=7)),"Y","–")))</x:f>
        <x:v>#N/A</x:v>
      </x:c>
      <x:c r="Y8" s="4" t="e">
        <x:f>INDEX(Sequence!$D$2:$D$11,MATCH(1,INDEX((Sequence!$A$2:$A$11=$B$8)*(Sequence!$B$2:$B$11=3),0),0))</x:f>
        <x:v>#N/A</x:v>
      </x:c>
      <x:c r="Z8" s="4" t="n">
        <x:f>(Responses!$X$9=SUMIFS(Sequence!$E:$E,Sequence!$A:$A,$B$8,Sequence!$B:$B,3))*1+(Responses!$Y$9=SUMIFS(Sequence!$F:$F,Sequence!$A:$A,$B$8,Sequence!$B:$B,3))*1+(Responses!$Z$9=SUMIFS(Sequence!$G:$G,Sequence!$A:$A,$B$8,Sequence!$B:$B,3))*1</x:f>
        <x:v>3</x:v>
      </x:c>
      <x:c r="AA8" s="4" t="str">
        <x:f>IF(Responses!$X$9="","",IF(Z8&lt;=1,"X",IF(Z8=3,"Y","–")))</x:f>
        <x:v>Y</x:v>
      </x:c>
      <x:c r="AB8" s="4" t="e">
        <x:f>IF(OR(Y8="A",Responses!$AA$9=""),"",ROUND(_xlfn.MAXIFS(Data!$P$2:$P$26,Data!$B$2:$B$26,SUMIFS(Sequence!$C:$C,Sequence!$A:$A,$B$8,Sequence!$B:$B,3),Data!$H$2:$H$26,1)-SUMIFS(Data!$P$2:$P$26,Data!$A$2:$A$26,SUMIFS(Sequence!$C:$C,Sequence!$A:$A,$B$8,Sequence!$B:$B,3)&amp;"|"&amp;IF(Y8="R",INDEX(Repetition!$D$2:$D$20,MATCH($B$8&amp;"|"&amp;Responses!$AA$9,Repetition!$A$2:$A$20,0)),Responses!$AA$9)),3))</x:f>
        <x:v>#N/A</x:v>
      </x:c>
      <x:c r="AC8" s="4" t="e">
        <x:f>IF(Y8="A","",ROUND(_xlfn.MAXIFS(Data!$P$2:$P$26,Data!$B$2:$B$26,SUMIFS(Sequence!$C:$C,Sequence!$A:$A,$B$8,Sequence!$B:$B,3),Data!$H$2:$H$26,1)-SUMIFS(Data!$P$2:$P$26,Data!$A$2:$A$26,SUMIFS(Sequence!$C:$C,Sequence!$A:$A,$B$8,Sequence!$B:$B,3)&amp;"|"&amp;"N"),3))</x:f>
        <x:v>#N/A</x:v>
      </x:c>
      <x:c r="AD8" s="4" t="e">
        <x:f>IF(AB8="","",IF(OR(AB8&gt;=0.5,AND(AC8&gt;0.1,AB8&gt;=AC8)),"X",IF(AB8&lt;=0.1,"Y","–")))</x:f>
        <x:v>#N/A</x:v>
      </x:c>
      <x:c r="AE8" s="4" t="e">
        <x:f>IF(OR(Y8="A",Responses!$AB$9="",Responses!$AB$9=0),"",IF(_xlfn.MAXIFS(Data!$P$2:$P$26,Data!$B$2:$B$26,SUMIFS(Sequence!$C:$C,Sequence!$A:$A,$B$8,Sequence!$B:$B,3),Data!$I$2:$I$26,1)-SUMIFS(Data!$P$2:$P$26,Data!$A$2:$A$26,SUMIFS(Sequence!$C:$C,Sequence!$A:$A,$B$8,Sequence!$B:$B,3)&amp;"|"&amp;INDEX(Selector!$D$2:$D$37,MATCH(SUMIFS(Sequence!$C:$C,Sequence!$A:$A,$B$8,Sequence!$B:$B,3)*100+ROUND(Responses!$AB$9*10,0),Selector!$A$2:$A$37,0)))&gt;=0.3,"X",IF(_xlfn.MAXIFS(Data!$P$2:$P$26,Data!$B$2:$B$26,SUMIFS(Sequence!$C:$C,Sequence!$A:$A,$B$8,Sequence!$B:$B,3),Data!$I$2:$I$26,1)-SUMIFS(Data!$P$2:$P$26,Data!$A$2:$A$26,SUMIFS(Sequence!$C:$C,Sequence!$A:$A,$B$8,Sequence!$B:$B,3)&amp;"|"&amp;INDEX(Selector!$D$2:$D$37,MATCH(SUMIFS(Sequence!$C:$C,Sequence!$A:$A,$B$8,Sequence!$B:$B,3)*100+ROUND(Responses!$AB$9*10,0),Selector!$A$2:$A$37,0)))&lt;=0.05,"Y","–")))</x:f>
        <x:v>#N/A</x:v>
      </x:c>
      <x:c r="AF8" s="4" t="e">
        <x:f>IF(OR(Y8&lt;&gt;"A",Responses!$AA$9=""),"",IF(AND(Responses!$AA$9=1,Responses!$AC$9&gt;=6,Responses!$D$9+Responses!$E$9&gt;=6),"X",IF(OR(AND(Responses!$AA$9&gt;=2,Responses!$D$9+Responses!$E$9&gt;=6),AND(Responses!$AA$9=1,Responses!$C$9&gt;=7)),"Y","–")))</x:f>
        <x:v>#N/A</x:v>
      </x:c>
      <x:c r="AG8" s="4" t="e">
        <x:f>INDEX(Sequence!$D$2:$D$11,MATCH(1,INDEX((Sequence!$A$2:$A$11=$B$8)*(Sequence!$B$2:$B$11=4),0),0))</x:f>
        <x:v>#N/A</x:v>
      </x:c>
      <x:c r="AH8" s="4" t="n">
        <x:f>(Responses!$AD$9=SUMIFS(Sequence!$E:$E,Sequence!$A:$A,$B$8,Sequence!$B:$B,4))*1+(Responses!$AE$9=SUMIFS(Sequence!$F:$F,Sequence!$A:$A,$B$8,Sequence!$B:$B,4))*1+(Responses!$AF$9=SUMIFS(Sequence!$G:$G,Sequence!$A:$A,$B$8,Sequence!$B:$B,4))*1</x:f>
        <x:v>3</x:v>
      </x:c>
      <x:c r="AI8" s="4" t="str">
        <x:f>IF(Responses!$AD$9="","",IF(AH8&lt;=1,"X",IF(AH8=3,"Y","–")))</x:f>
        <x:v>Y</x:v>
      </x:c>
      <x:c r="AJ8" s="4" t="e">
        <x:f>IF(OR(AG8="A",Responses!$AG$9=""),"",ROUND(_xlfn.MAXIFS(Data!$P$2:$P$26,Data!$B$2:$B$26,SUMIFS(Sequence!$C:$C,Sequence!$A:$A,$B$8,Sequence!$B:$B,4),Data!$H$2:$H$26,1)-SUMIFS(Data!$P$2:$P$26,Data!$A$2:$A$26,SUMIFS(Sequence!$C:$C,Sequence!$A:$A,$B$8,Sequence!$B:$B,4)&amp;"|"&amp;IF(AG8="R",INDEX(Repetition!$D$2:$D$20,MATCH($B$8&amp;"|"&amp;Responses!$AG$9,Repetition!$A$2:$A$20,0)),Responses!$AG$9)),3))</x:f>
        <x:v>#N/A</x:v>
      </x:c>
      <x:c r="AK8" s="4" t="e">
        <x:f>IF(AG8="A","",ROUND(_xlfn.MAXIFS(Data!$P$2:$P$26,Data!$B$2:$B$26,SUMIFS(Sequence!$C:$C,Sequence!$A:$A,$B$8,Sequence!$B:$B,4),Data!$H$2:$H$26,1)-SUMIFS(Data!$P$2:$P$26,Data!$A$2:$A$26,SUMIFS(Sequence!$C:$C,Sequence!$A:$A,$B$8,Sequence!$B:$B,4)&amp;"|"&amp;"N"),3))</x:f>
        <x:v>#N/A</x:v>
      </x:c>
      <x:c r="AL8" s="4" t="e">
        <x:f>IF(AJ8="","",IF(OR(AJ8&gt;=0.5,AND(AK8&gt;0.1,AJ8&gt;=AK8)),"X",IF(AJ8&lt;=0.1,"Y","–")))</x:f>
        <x:v>#N/A</x:v>
      </x:c>
      <x:c r="AM8" s="4" t="e">
        <x:f>IF(OR(AG8="A",Responses!$AH$9="",Responses!$AH$9=0),"",IF(_xlfn.MAXIFS(Data!$P$2:$P$26,Data!$B$2:$B$26,SUMIFS(Sequence!$C:$C,Sequence!$A:$A,$B$8,Sequence!$B:$B,4),Data!$I$2:$I$26,1)-SUMIFS(Data!$P$2:$P$26,Data!$A$2:$A$26,SUMIFS(Sequence!$C:$C,Sequence!$A:$A,$B$8,Sequence!$B:$B,4)&amp;"|"&amp;INDEX(Selector!$D$2:$D$37,MATCH(SUMIFS(Sequence!$C:$C,Sequence!$A:$A,$B$8,Sequence!$B:$B,4)*100+ROUND(Responses!$AH$9*10,0),Selector!$A$2:$A$37,0)))&gt;=0.3,"X",IF(_xlfn.MAXIFS(Data!$P$2:$P$26,Data!$B$2:$B$26,SUMIFS(Sequence!$C:$C,Sequence!$A:$A,$B$8,Sequence!$B:$B,4),Data!$I$2:$I$26,1)-SUMIFS(Data!$P$2:$P$26,Data!$A$2:$A$26,SUMIFS(Sequence!$C:$C,Sequence!$A:$A,$B$8,Sequence!$B:$B,4)&amp;"|"&amp;INDEX(Selector!$D$2:$D$37,MATCH(SUMIFS(Sequence!$C:$C,Sequence!$A:$A,$B$8,Sequence!$B:$B,4)*100+ROUND(Responses!$AH$9*10,0),Selector!$A$2:$A$37,0)))&lt;=0.05,"Y","–")))</x:f>
        <x:v>#N/A</x:v>
      </x:c>
      <x:c r="AN8" s="4" t="e">
        <x:f>IF(OR(AG8&lt;&gt;"A",Responses!$AG$9=""),"",IF(AND(Responses!$AG$9=1,Responses!$AI$9&gt;=6,Responses!$D$9+Responses!$E$9&gt;=6),"X",IF(OR(AND(Responses!$AG$9&gt;=2,Responses!$D$9+Responses!$E$9&gt;=6),AND(Responses!$AG$9=1,Responses!$C$9&gt;=7)),"Y","–")))</x:f>
        <x:v>#N/A</x:v>
      </x:c>
      <x:c r="AO8" s="4" t="e">
        <x:f>INDEX(Sequence!$D$2:$D$11,MATCH(1,INDEX((Sequence!$A$2:$A$11=$B$8)*(Sequence!$B$2:$B$11=5),0),0))</x:f>
        <x:v>#N/A</x:v>
      </x:c>
      <x:c r="AP8" s="4" t="n">
        <x:f>(Responses!$AJ$9=SUMIFS(Sequence!$E:$E,Sequence!$A:$A,$B$8,Sequence!$B:$B,5))*1+(Responses!$AK$9=SUMIFS(Sequence!$F:$F,Sequence!$A:$A,$B$8,Sequence!$B:$B,5))*1+(Responses!$AL$9=SUMIFS(Sequence!$G:$G,Sequence!$A:$A,$B$8,Sequence!$B:$B,5))*1</x:f>
        <x:v>3</x:v>
      </x:c>
      <x:c r="AQ8" s="4" t="str">
        <x:f>IF(Responses!$AJ$9="","",IF(AP8&lt;=1,"X",IF(AP8=3,"Y","–")))</x:f>
        <x:v>Y</x:v>
      </x:c>
      <x:c r="AR8" s="4" t="e">
        <x:f>IF(OR(AO8="A",Responses!$AM$9=""),"",ROUND(_xlfn.MAXIFS(Data!$P$2:$P$26,Data!$B$2:$B$26,SUMIFS(Sequence!$C:$C,Sequence!$A:$A,$B$8,Sequence!$B:$B,5),Data!$H$2:$H$26,1)-SUMIFS(Data!$P$2:$P$26,Data!$A$2:$A$26,SUMIFS(Sequence!$C:$C,Sequence!$A:$A,$B$8,Sequence!$B:$B,5)&amp;"|"&amp;IF(AO8="R",INDEX(Repetition!$D$2:$D$20,MATCH($B$8&amp;"|"&amp;Responses!$AM$9,Repetition!$A$2:$A$20,0)),Responses!$AM$9)),3))</x:f>
        <x:v>#N/A</x:v>
      </x:c>
      <x:c r="AS8" s="4" t="e">
        <x:f>IF(AO8="A","",ROUND(_xlfn.MAXIFS(Data!$P$2:$P$26,Data!$B$2:$B$26,SUMIFS(Sequence!$C:$C,Sequence!$A:$A,$B$8,Sequence!$B:$B,5),Data!$H$2:$H$26,1)-SUMIFS(Data!$P$2:$P$26,Data!$A$2:$A$26,SUMIFS(Sequence!$C:$C,Sequence!$A:$A,$B$8,Sequence!$B:$B,5)&amp;"|"&amp;"N"),3))</x:f>
        <x:v>#N/A</x:v>
      </x:c>
      <x:c r="AT8" s="4" t="e">
        <x:f>IF(AR8="","",IF(OR(AR8&gt;=0.5,AND(AS8&gt;0.1,AR8&gt;=AS8)),"X",IF(AR8&lt;=0.1,"Y","–")))</x:f>
        <x:v>#N/A</x:v>
      </x:c>
      <x:c r="AU8" s="4" t="e">
        <x:f>IF(OR(AO8="A",Responses!$AN$9="",Responses!$AN$9=0),"",IF(_xlfn.MAXIFS(Data!$P$2:$P$26,Data!$B$2:$B$26,SUMIFS(Sequence!$C:$C,Sequence!$A:$A,$B$8,Sequence!$B:$B,5),Data!$I$2:$I$26,1)-SUMIFS(Data!$P$2:$P$26,Data!$A$2:$A$26,SUMIFS(Sequence!$C:$C,Sequence!$A:$A,$B$8,Sequence!$B:$B,5)&amp;"|"&amp;INDEX(Selector!$D$2:$D$37,MATCH(SUMIFS(Sequence!$C:$C,Sequence!$A:$A,$B$8,Sequence!$B:$B,5)*100+ROUND(Responses!$AN$9*10,0),Selector!$A$2:$A$37,0)))&gt;=0.3,"X",IF(_xlfn.MAXIFS(Data!$P$2:$P$26,Data!$B$2:$B$26,SUMIFS(Sequence!$C:$C,Sequence!$A:$A,$B$8,Sequence!$B:$B,5),Data!$I$2:$I$26,1)-SUMIFS(Data!$P$2:$P$26,Data!$A$2:$A$26,SUMIFS(Sequence!$C:$C,Sequence!$A:$A,$B$8,Sequence!$B:$B,5)&amp;"|"&amp;INDEX(Selector!$D$2:$D$37,MATCH(SUMIFS(Sequence!$C:$C,Sequence!$A:$A,$B$8,Sequence!$B:$B,5)*100+ROUND(Responses!$AN$9*10,0),Selector!$A$2:$A$37,0)))&lt;=0.05,"Y","–")))</x:f>
        <x:v>#N/A</x:v>
      </x:c>
      <x:c r="AV8" s="4" t="e">
        <x:f>IF(OR(AO8&lt;&gt;"A",Responses!$AM$9=""),"",IF(AND(Responses!$AM$9=1,Responses!$AO$9&gt;=6,Responses!$D$9+Responses!$E$9&gt;=6),"X",IF(OR(AND(Responses!$AM$9&gt;=2,Responses!$D$9+Responses!$E$9&gt;=6),AND(Responses!$AM$9=1,Responses!$C$9&gt;=7)),"Y","–")))</x:f>
        <x:v>#N/A</x:v>
      </x:c>
      <x:c r="AW8" s="4" t="str">
        <x:f>IF(Responses!$BE$9="","",IF(OR(Responses!$BE$9&lt;25,Responses!$BE$9&gt;150),"X",IF(AND(Responses!$BE$9&gt;=45,Responses!$BE$9&lt;=100),"Y","–")))</x:f>
      </x:c>
      <x:c r="AX8" s="4" t="e">
        <x:f>IF(OR(AR8="",IF($B$8="X",AB8,L8)=""),"",ABS(AR8-IF($B$8="X",AB8,L8)))</x:f>
        <x:v>#N/A</x:v>
      </x:c>
      <x:c r="AY8" s="4" t="e">
        <x:f>IF(AX8="","",IF(AX8&gt;0.25,"X",IF(AX8=0,"Y","–")))</x:f>
        <x:v>#N/A</x:v>
      </x:c>
      <x:c r="AZ8" s="4" t="n">
        <x:f>(Responses!$AP$9=INDEX(VignetteKeys!$B$2:$B$3,MATCH($B$8,VignetteKeys!$A$2:$A$3,0)))*1+(Responses!$AQ$9=INDEX(VignetteKeys!$C$2:$C$3,MATCH($B$8,VignetteKeys!$A$2:$A$3,0)))*1+(Responses!$AR$9=INDEX(VignetteKeys!$D$2:$D$3,MATCH($B$8,VignetteKeys!$A$2:$A$3,0)))*1+(Responses!$AS$9=INDEX(VignetteKeys!$E$2:$E$3,MATCH($B$8,VignetteKeys!$A$2:$A$3,0)))*1</x:f>
        <x:v>4</x:v>
      </x:c>
      <x:c r="BA8" s="4" t="str">
        <x:f>IF(Responses!$AP$9="","",IF(OR(AND(Responses!$AP$9&lt;&gt;INDEX(VignetteKeys!$B$2:$B$3,MATCH($B$8,VignetteKeys!$A$2:$A$3,0)),Responses!$AQ$9&lt;&gt;INDEX(VignetteKeys!$C$2:$C$3,MATCH($B$8,VignetteKeys!$A$2:$A$3,0))),AND(Responses!$AR$9&lt;&gt;INDEX(VignetteKeys!$D$2:$D$3,MATCH($B$8,VignetteKeys!$A$2:$A$3,0)),Responses!$AS$9&lt;&gt;INDEX(VignetteKeys!$E$2:$E$3,MATCH($B$8,VignetteKeys!$A$2:$A$3,0)))),"X",IF(AZ8=4,"Y","–")))</x:f>
        <x:v>Y</x:v>
      </x:c>
      <x:c r="BB8" s="4" t="str">
        <x:f>IF(Responses!$AT$9="","",IF(Responses!$AT$9&lt;&gt;4,"X","Y"))</x:f>
        <x:v>Y</x:v>
      </x:c>
      <x:c r="BC8" s="4" t="n">
        <x:f>IF(COUNT(Responses!$AU$9:$BD$9)&lt;10,"",((Responses!$AU$9-1)+(Responses!$AW$9-1)+(Responses!$AY$9-1)+(Responses!$BA$9-1)+(Responses!$BC$9-1)+(5-Responses!$AV$9)+(5-Responses!$AX$9)+(5-Responses!$AZ$9)+(5-Responses!$BB$9)+(5-Responses!$BD$9))*2.5)</x:f>
        <x:v>80</x:v>
      </x:c>
      <x:c r="BD8" s="4" t="str">
        <x:f>IF(BC8="","",IF(BC8&lt;50,"X",IF(BC8&gt;=68,"Y","–")))</x:f>
        <x:v>Y</x:v>
      </x:c>
      <x:c r="BE8" s="4" t="e">
        <x:f>IF((IF(AND(I8&lt;&gt;"A",ISNUMBER(Responses!$Q$9)),1,0)+IF(AND(Q8&lt;&gt;"A",ISNUMBER(Responses!$W$9)),1,0)+IF(AND(Y8&lt;&gt;"A",ISNUMBER(Responses!$AC$9)),1,0)+IF(AND(AG8&lt;&gt;"A",ISNUMBER(Responses!$AI$9)),1,0)+IF(AND(AO8&lt;&gt;"A",ISNUMBER(Responses!$AO$9)),1,0))=0,"",ROUND((IF(AND(I8&lt;&gt;"A",ISNUMBER(Responses!$Q$9)),Responses!$Q$9,0)+IF(AND(Q8&lt;&gt;"A",ISNUMBER(Responses!$W$9)),Responses!$W$9,0)+IF(AND(Y8&lt;&gt;"A",ISNUMBER(Responses!$AC$9)),Responses!$AC$9,0)+IF(AND(AG8&lt;&gt;"A",ISNUMBER(Responses!$AI$9)),Responses!$AI$9,0)+IF(AND(AO8&lt;&gt;"A",ISNUMBER(Responses!$AO$9)),Responses!$AO$9,0))/(IF(AND(I8&lt;&gt;"A",ISNUMBER(Responses!$Q$9)),1,0)+IF(AND(Q8&lt;&gt;"A",ISNUMBER(Responses!$W$9)),1,0)+IF(AND(Y8&lt;&gt;"A",ISNUMBER(Responses!$AC$9)),1,0)+IF(AND(AG8&lt;&gt;"A",ISNUMBER(Responses!$AI$9)),1,0)+IF(AND(AO8&lt;&gt;"A",ISNUMBER(Responses!$AO$9)),1,0)),2))</x:f>
        <x:v>#N/A</x:v>
      </x:c>
      <x:c r="BF8" s="4" t="e">
        <x:f>IF((IF(AND(I8="A",ISNUMBER(Responses!$Q$9)),1,0)+IF(AND(Q8="A",ISNUMBER(Responses!$W$9)),1,0)+IF(AND(Y8="A",ISNUMBER(Responses!$AC$9)),1,0)+IF(AND(AG8="A",ISNUMBER(Responses!$AI$9)),1,0)+IF(AND(AO8="A",ISNUMBER(Responses!$AO$9)),1,0))=0,"",ROUND((IF(AND(I8="A",ISNUMBER(Responses!$Q$9)),Responses!$Q$9,0)+IF(AND(Q8="A",ISNUMBER(Responses!$W$9)),Responses!$W$9,0)+IF(AND(Y8="A",ISNUMBER(Responses!$AC$9)),Responses!$AC$9,0)+IF(AND(AG8="A",ISNUMBER(Responses!$AI$9)),Responses!$AI$9,0)+IF(AND(AO8="A",ISNUMBER(Responses!$AO$9)),Responses!$AO$9,0))/(IF(AND(I8="A",ISNUMBER(Responses!$Q$9)),1,0)+IF(AND(Q8="A",ISNUMBER(Responses!$W$9)),1,0)+IF(AND(Y8="A",ISNUMBER(Responses!$AC$9)),1,0)+IF(AND(AG8="A",ISNUMBER(Responses!$AI$9)),1,0)+IF(AND(AO8="A",ISNUMBER(Responses!$AO$9)),1,0)),2))</x:f>
        <x:v>#N/A</x:v>
      </x:c>
      <x:c r="BG8" s="4" t="e">
        <x:f>IF(OR(BE8="",BF8=""),"",IF(BF8-BE8&gt;=3,"X",IF(BE8&gt;=BF8,"Y","–")))</x:f>
        <x:v>#N/A</x:v>
      </x:c>
      <x:c r="BH8" s="4" t="e">
        <x:f>(D8="X")*1+(F8="X")*1+(H8="X")*1+(K8="X")*1+(N8="X")*1+(O8="X")*1+(P8="X")*1+(S8="X")*1+(V8="X")*1+(W8="X")*1+(X8="X")*1+(AA8="X")*1+(AD8="X")*1+(AE8="X")*1+(AF8="X")*1+(AI8="X")*1+(AL8="X")*1+(AM8="X")*1+(AN8="X")*1+(AQ8="X")*1+(AT8="X")*1+(AU8="X")*1+(AV8="X")*1+(AW8="X")*1+(AY8="X")*1+(BA8="X")*1+(BB8="X")*1+(BD8="X")*1+(BG8="X")*1</x:f>
        <x:v>#N/A</x:v>
      </x:c>
    </x:row>
    <x:row r="9">
      <x:c r="A9" s="4" t="str">
        <x:f>Responses!$A$10</x:f>
        <x:v>P08</x:v>
      </x:c>
      <x:c r="B9" s="4" t="str">
        <x:f>Responses!$B$10</x:f>
        <x:v>Y</x:v>
      </x:c>
      <x:c r="C9" s="4" t="n">
        <x:f>SUM(Responses!$C$10,Responses!$D$10,Responses!$E$10)</x:f>
        <x:v>10</x:v>
      </x:c>
      <x:c r="D9" s="4" t="str">
        <x:f>IF(C9=0,"",IF(C9&lt;&gt;10,"X","Y"))</x:f>
        <x:v>Y</x:v>
      </x:c>
      <x:c r="E9" s="4" t="n">
        <x:f>IF(OR(Responses!$F$10="",Responses!$F$10&gt;6),"",MAX(ABS(Responses!$C$10-INDEX(Profiles!$C$2:$C$7,Responses!$F$10)),ABS(Responses!$D$10-INDEX(Profiles!$D$2:$D$7,Responses!$F$10)),ABS(Responses!$E$10-INDEX(Profiles!$E$2:$E$7,Responses!$F$10))))</x:f>
        <x:v>1.5</x:v>
      </x:c>
      <x:c r="F9" s="4" t="str">
        <x:f>IF(E9="","",IF(E9&gt;=4,"X",IF(E9&lt;=2,"Y","–")))</x:f>
        <x:v>Y</x:v>
      </x:c>
      <x:c r="G9" s="4" t="n">
        <x:f>(Responses!$G$10=2)*1+(Responses!$H$10=1)*1+(Responses!$I$10=2)*1+(Responses!$J$10=2)*1+(Responses!$K$10=2)*1</x:f>
        <x:v>5</x:v>
      </x:c>
      <x:c r="H9" s="4" t="str">
        <x:f>IF(Responses!$G$10="","",IF(G9&lt;=3,"X",IF(G9=5,"Y","–")))</x:f>
        <x:v>Y</x:v>
      </x:c>
      <x:c r="I9" s="4" t="e">
        <x:f>INDEX(Sequence!$D$2:$D$11,MATCH(1,INDEX((Sequence!$A$2:$A$11=$B$9)*(Sequence!$B$2:$B$11=1),0),0))</x:f>
        <x:v>#N/A</x:v>
      </x:c>
      <x:c r="J9" s="4" t="n">
        <x:f>(Responses!$L$10=SUMIFS(Sequence!$E:$E,Sequence!$A:$A,$B$9,Sequence!$B:$B,1))*1+(Responses!$M$10=SUMIFS(Sequence!$F:$F,Sequence!$A:$A,$B$9,Sequence!$B:$B,1))*1+(Responses!$N$10=SUMIFS(Sequence!$G:$G,Sequence!$A:$A,$B$9,Sequence!$B:$B,1))*1</x:f>
        <x:v>3</x:v>
      </x:c>
      <x:c r="K9" s="4" t="str">
        <x:f>IF(Responses!$L$10="","",IF(J9&lt;=1,"X",IF(J9=3,"Y","–")))</x:f>
        <x:v>Y</x:v>
      </x:c>
      <x:c r="L9" s="4" t="e">
        <x:f>IF(OR(I9="A",Responses!$O$10=""),"",ROUND(_xlfn.MAXIFS(Data!$Q$2:$Q$26,Data!$B$2:$B$26,SUMIFS(Sequence!$C:$C,Sequence!$A:$A,$B$9,Sequence!$B:$B,1),Data!$H$2:$H$26,1)-SUMIFS(Data!$Q$2:$Q$26,Data!$A$2:$A$26,SUMIFS(Sequence!$C:$C,Sequence!$A:$A,$B$9,Sequence!$B:$B,1)&amp;"|"&amp;IF(I9="R",INDEX(Repetition!$D$2:$D$20,MATCH($B$9&amp;"|"&amp;Responses!$O$10,Repetition!$A$2:$A$20,0)),Responses!$O$10)),3))</x:f>
        <x:v>#N/A</x:v>
      </x:c>
      <x:c r="M9" s="4" t="e">
        <x:f>IF(I9="A","",ROUND(_xlfn.MAXIFS(Data!$Q$2:$Q$26,Data!$B$2:$B$26,SUMIFS(Sequence!$C:$C,Sequence!$A:$A,$B$9,Sequence!$B:$B,1),Data!$H$2:$H$26,1)-SUMIFS(Data!$Q$2:$Q$26,Data!$A$2:$A$26,SUMIFS(Sequence!$C:$C,Sequence!$A:$A,$B$9,Sequence!$B:$B,1)&amp;"|"&amp;"N"),3))</x:f>
        <x:v>#N/A</x:v>
      </x:c>
      <x:c r="N9" s="4" t="e">
        <x:f>IF(L9="","",IF(OR(L9&gt;=0.5,AND(M9&gt;0.1,L9&gt;=M9)),"X",IF(L9&lt;=0.1,"Y","–")))</x:f>
        <x:v>#N/A</x:v>
      </x:c>
      <x:c r="O9" s="4" t="e">
        <x:f>IF(OR(I9="A",Responses!$P$10="",Responses!$P$10=0),"",IF(_xlfn.MAXIFS(Data!$Q$2:$Q$26,Data!$B$2:$B$26,SUMIFS(Sequence!$C:$C,Sequence!$A:$A,$B$9,Sequence!$B:$B,1),Data!$I$2:$I$26,1)-SUMIFS(Data!$Q$2:$Q$26,Data!$A$2:$A$26,SUMIFS(Sequence!$C:$C,Sequence!$A:$A,$B$9,Sequence!$B:$B,1)&amp;"|"&amp;INDEX(Selector!$D$2:$D$37,MATCH(SUMIFS(Sequence!$C:$C,Sequence!$A:$A,$B$9,Sequence!$B:$B,1)*100+ROUND(Responses!$P$10*10,0),Selector!$A$2:$A$37,0)))&gt;=0.3,"X",IF(_xlfn.MAXIFS(Data!$Q$2:$Q$26,Data!$B$2:$B$26,SUMIFS(Sequence!$C:$C,Sequence!$A:$A,$B$9,Sequence!$B:$B,1),Data!$I$2:$I$26,1)-SUMIFS(Data!$Q$2:$Q$26,Data!$A$2:$A$26,SUMIFS(Sequence!$C:$C,Sequence!$A:$A,$B$9,Sequence!$B:$B,1)&amp;"|"&amp;INDEX(Selector!$D$2:$D$37,MATCH(SUMIFS(Sequence!$C:$C,Sequence!$A:$A,$B$9,Sequence!$B:$B,1)*100+ROUND(Responses!$P$10*10,0),Selector!$A$2:$A$37,0)))&lt;=0.05,"Y","–")))</x:f>
        <x:v>#N/A</x:v>
      </x:c>
      <x:c r="P9" s="4" t="e">
        <x:f>IF(OR(I9&lt;&gt;"A",Responses!$O$10=""),"",IF(AND(Responses!$O$10=1,Responses!$Q$10&gt;=6,Responses!$D$10+Responses!$E$10&gt;=6),"X",IF(OR(AND(Responses!$O$10&gt;=2,Responses!$D$10+Responses!$E$10&gt;=6),AND(Responses!$O$10=1,Responses!$C$10&gt;=7)),"Y","–")))</x:f>
        <x:v>#N/A</x:v>
      </x:c>
      <x:c r="Q9" s="4" t="e">
        <x:f>INDEX(Sequence!$D$2:$D$11,MATCH(1,INDEX((Sequence!$A$2:$A$11=$B$9)*(Sequence!$B$2:$B$11=2),0),0))</x:f>
        <x:v>#N/A</x:v>
      </x:c>
      <x:c r="R9" s="4" t="n">
        <x:f>(Responses!$R$10=SUMIFS(Sequence!$E:$E,Sequence!$A:$A,$B$9,Sequence!$B:$B,2))*1+(Responses!$S$10=SUMIFS(Sequence!$F:$F,Sequence!$A:$A,$B$9,Sequence!$B:$B,2))*1+(Responses!$T$10=SUMIFS(Sequence!$G:$G,Sequence!$A:$A,$B$9,Sequence!$B:$B,2))*1</x:f>
        <x:v>3</x:v>
      </x:c>
      <x:c r="S9" s="4" t="str">
        <x:f>IF(Responses!$R$10="","",IF(R9&lt;=1,"X",IF(R9=3,"Y","–")))</x:f>
        <x:v>Y</x:v>
      </x:c>
      <x:c r="T9" s="4" t="e">
        <x:f>IF(OR(Q9="A",Responses!$U$10=""),"",ROUND(_xlfn.MAXIFS(Data!$Q$2:$Q$26,Data!$B$2:$B$26,SUMIFS(Sequence!$C:$C,Sequence!$A:$A,$B$9,Sequence!$B:$B,2),Data!$H$2:$H$26,1)-SUMIFS(Data!$Q$2:$Q$26,Data!$A$2:$A$26,SUMIFS(Sequence!$C:$C,Sequence!$A:$A,$B$9,Sequence!$B:$B,2)&amp;"|"&amp;IF(Q9="R",INDEX(Repetition!$D$2:$D$20,MATCH($B$9&amp;"|"&amp;Responses!$U$10,Repetition!$A$2:$A$20,0)),Responses!$U$10)),3))</x:f>
        <x:v>#N/A</x:v>
      </x:c>
      <x:c r="U9" s="4" t="e">
        <x:f>IF(Q9="A","",ROUND(_xlfn.MAXIFS(Data!$Q$2:$Q$26,Data!$B$2:$B$26,SUMIFS(Sequence!$C:$C,Sequence!$A:$A,$B$9,Sequence!$B:$B,2),Data!$H$2:$H$26,1)-SUMIFS(Data!$Q$2:$Q$26,Data!$A$2:$A$26,SUMIFS(Sequence!$C:$C,Sequence!$A:$A,$B$9,Sequence!$B:$B,2)&amp;"|"&amp;"N"),3))</x:f>
        <x:v>#N/A</x:v>
      </x:c>
      <x:c r="V9" s="4" t="e">
        <x:f>IF(T9="","",IF(OR(T9&gt;=0.5,AND(U9&gt;0.1,T9&gt;=U9)),"X",IF(T9&lt;=0.1,"Y","–")))</x:f>
        <x:v>#N/A</x:v>
      </x:c>
      <x:c r="W9" s="4" t="e">
        <x:f>IF(OR(Q9="A",Responses!$V$10="",Responses!$V$10=0),"",IF(_xlfn.MAXIFS(Data!$Q$2:$Q$26,Data!$B$2:$B$26,SUMIFS(Sequence!$C:$C,Sequence!$A:$A,$B$9,Sequence!$B:$B,2),Data!$I$2:$I$26,1)-SUMIFS(Data!$Q$2:$Q$26,Data!$A$2:$A$26,SUMIFS(Sequence!$C:$C,Sequence!$A:$A,$B$9,Sequence!$B:$B,2)&amp;"|"&amp;INDEX(Selector!$D$2:$D$37,MATCH(SUMIFS(Sequence!$C:$C,Sequence!$A:$A,$B$9,Sequence!$B:$B,2)*100+ROUND(Responses!$V$10*10,0),Selector!$A$2:$A$37,0)))&gt;=0.3,"X",IF(_xlfn.MAXIFS(Data!$Q$2:$Q$26,Data!$B$2:$B$26,SUMIFS(Sequence!$C:$C,Sequence!$A:$A,$B$9,Sequence!$B:$B,2),Data!$I$2:$I$26,1)-SUMIFS(Data!$Q$2:$Q$26,Data!$A$2:$A$26,SUMIFS(Sequence!$C:$C,Sequence!$A:$A,$B$9,Sequence!$B:$B,2)&amp;"|"&amp;INDEX(Selector!$D$2:$D$37,MATCH(SUMIFS(Sequence!$C:$C,Sequence!$A:$A,$B$9,Sequence!$B:$B,2)*100+ROUND(Responses!$V$10*10,0),Selector!$A$2:$A$37,0)))&lt;=0.05,"Y","–")))</x:f>
        <x:v>#N/A</x:v>
      </x:c>
      <x:c r="X9" s="4" t="e">
        <x:f>IF(OR(Q9&lt;&gt;"A",Responses!$U$10=""),"",IF(AND(Responses!$U$10=1,Responses!$W$10&gt;=6,Responses!$D$10+Responses!$E$10&gt;=6),"X",IF(OR(AND(Responses!$U$10&gt;=2,Responses!$D$10+Responses!$E$10&gt;=6),AND(Responses!$U$10=1,Responses!$C$10&gt;=7)),"Y","–")))</x:f>
        <x:v>#N/A</x:v>
      </x:c>
      <x:c r="Y9" s="4" t="e">
        <x:f>INDEX(Sequence!$D$2:$D$11,MATCH(1,INDEX((Sequence!$A$2:$A$11=$B$9)*(Sequence!$B$2:$B$11=3),0),0))</x:f>
        <x:v>#N/A</x:v>
      </x:c>
      <x:c r="Z9" s="4" t="n">
        <x:f>(Responses!$X$10=SUMIFS(Sequence!$E:$E,Sequence!$A:$A,$B$9,Sequence!$B:$B,3))*1+(Responses!$Y$10=SUMIFS(Sequence!$F:$F,Sequence!$A:$A,$B$9,Sequence!$B:$B,3))*1+(Responses!$Z$10=SUMIFS(Sequence!$G:$G,Sequence!$A:$A,$B$9,Sequence!$B:$B,3))*1</x:f>
        <x:v>3</x:v>
      </x:c>
      <x:c r="AA9" s="4" t="str">
        <x:f>IF(Responses!$X$10="","",IF(Z9&lt;=1,"X",IF(Z9=3,"Y","–")))</x:f>
        <x:v>Y</x:v>
      </x:c>
      <x:c r="AB9" s="4" t="e">
        <x:f>IF(OR(Y9="A",Responses!$AA$10=""),"",ROUND(_xlfn.MAXIFS(Data!$Q$2:$Q$26,Data!$B$2:$B$26,SUMIFS(Sequence!$C:$C,Sequence!$A:$A,$B$9,Sequence!$B:$B,3),Data!$H$2:$H$26,1)-SUMIFS(Data!$Q$2:$Q$26,Data!$A$2:$A$26,SUMIFS(Sequence!$C:$C,Sequence!$A:$A,$B$9,Sequence!$B:$B,3)&amp;"|"&amp;IF(Y9="R",INDEX(Repetition!$D$2:$D$20,MATCH($B$9&amp;"|"&amp;Responses!$AA$10,Repetition!$A$2:$A$20,0)),Responses!$AA$10)),3))</x:f>
        <x:v>#N/A</x:v>
      </x:c>
      <x:c r="AC9" s="4" t="e">
        <x:f>IF(Y9="A","",ROUND(_xlfn.MAXIFS(Data!$Q$2:$Q$26,Data!$B$2:$B$26,SUMIFS(Sequence!$C:$C,Sequence!$A:$A,$B$9,Sequence!$B:$B,3),Data!$H$2:$H$26,1)-SUMIFS(Data!$Q$2:$Q$26,Data!$A$2:$A$26,SUMIFS(Sequence!$C:$C,Sequence!$A:$A,$B$9,Sequence!$B:$B,3)&amp;"|"&amp;"N"),3))</x:f>
        <x:v>#N/A</x:v>
      </x:c>
      <x:c r="AD9" s="4" t="e">
        <x:f>IF(AB9="","",IF(OR(AB9&gt;=0.5,AND(AC9&gt;0.1,AB9&gt;=AC9)),"X",IF(AB9&lt;=0.1,"Y","–")))</x:f>
        <x:v>#N/A</x:v>
      </x:c>
      <x:c r="AE9" s="4" t="e">
        <x:f>IF(OR(Y9="A",Responses!$AB$10="",Responses!$AB$10=0),"",IF(_xlfn.MAXIFS(Data!$Q$2:$Q$26,Data!$B$2:$B$26,SUMIFS(Sequence!$C:$C,Sequence!$A:$A,$B$9,Sequence!$B:$B,3),Data!$I$2:$I$26,1)-SUMIFS(Data!$Q$2:$Q$26,Data!$A$2:$A$26,SUMIFS(Sequence!$C:$C,Sequence!$A:$A,$B$9,Sequence!$B:$B,3)&amp;"|"&amp;INDEX(Selector!$D$2:$D$37,MATCH(SUMIFS(Sequence!$C:$C,Sequence!$A:$A,$B$9,Sequence!$B:$B,3)*100+ROUND(Responses!$AB$10*10,0),Selector!$A$2:$A$37,0)))&gt;=0.3,"X",IF(_xlfn.MAXIFS(Data!$Q$2:$Q$26,Data!$B$2:$B$26,SUMIFS(Sequence!$C:$C,Sequence!$A:$A,$B$9,Sequence!$B:$B,3),Data!$I$2:$I$26,1)-SUMIFS(Data!$Q$2:$Q$26,Data!$A$2:$A$26,SUMIFS(Sequence!$C:$C,Sequence!$A:$A,$B$9,Sequence!$B:$B,3)&amp;"|"&amp;INDEX(Selector!$D$2:$D$37,MATCH(SUMIFS(Sequence!$C:$C,Sequence!$A:$A,$B$9,Sequence!$B:$B,3)*100+ROUND(Responses!$AB$10*10,0),Selector!$A$2:$A$37,0)))&lt;=0.05,"Y","–")))</x:f>
        <x:v>#N/A</x:v>
      </x:c>
      <x:c r="AF9" s="4" t="e">
        <x:f>IF(OR(Y9&lt;&gt;"A",Responses!$AA$10=""),"",IF(AND(Responses!$AA$10=1,Responses!$AC$10&gt;=6,Responses!$D$10+Responses!$E$10&gt;=6),"X",IF(OR(AND(Responses!$AA$10&gt;=2,Responses!$D$10+Responses!$E$10&gt;=6),AND(Responses!$AA$10=1,Responses!$C$10&gt;=7)),"Y","–")))</x:f>
        <x:v>#N/A</x:v>
      </x:c>
      <x:c r="AG9" s="4" t="e">
        <x:f>INDEX(Sequence!$D$2:$D$11,MATCH(1,INDEX((Sequence!$A$2:$A$11=$B$9)*(Sequence!$B$2:$B$11=4),0),0))</x:f>
        <x:v>#N/A</x:v>
      </x:c>
      <x:c r="AH9" s="4" t="n">
        <x:f>(Responses!$AD$10=SUMIFS(Sequence!$E:$E,Sequence!$A:$A,$B$9,Sequence!$B:$B,4))*1+(Responses!$AE$10=SUMIFS(Sequence!$F:$F,Sequence!$A:$A,$B$9,Sequence!$B:$B,4))*1+(Responses!$AF$10=SUMIFS(Sequence!$G:$G,Sequence!$A:$A,$B$9,Sequence!$B:$B,4))*1</x:f>
        <x:v>3</x:v>
      </x:c>
      <x:c r="AI9" s="4" t="str">
        <x:f>IF(Responses!$AD$10="","",IF(AH9&lt;=1,"X",IF(AH9=3,"Y","–")))</x:f>
        <x:v>Y</x:v>
      </x:c>
      <x:c r="AJ9" s="4" t="e">
        <x:f>IF(OR(AG9="A",Responses!$AG$10=""),"",ROUND(_xlfn.MAXIFS(Data!$Q$2:$Q$26,Data!$B$2:$B$26,SUMIFS(Sequence!$C:$C,Sequence!$A:$A,$B$9,Sequence!$B:$B,4),Data!$H$2:$H$26,1)-SUMIFS(Data!$Q$2:$Q$26,Data!$A$2:$A$26,SUMIFS(Sequence!$C:$C,Sequence!$A:$A,$B$9,Sequence!$B:$B,4)&amp;"|"&amp;IF(AG9="R",INDEX(Repetition!$D$2:$D$20,MATCH($B$9&amp;"|"&amp;Responses!$AG$10,Repetition!$A$2:$A$20,0)),Responses!$AG$10)),3))</x:f>
        <x:v>#N/A</x:v>
      </x:c>
      <x:c r="AK9" s="4" t="e">
        <x:f>IF(AG9="A","",ROUND(_xlfn.MAXIFS(Data!$Q$2:$Q$26,Data!$B$2:$B$26,SUMIFS(Sequence!$C:$C,Sequence!$A:$A,$B$9,Sequence!$B:$B,4),Data!$H$2:$H$26,1)-SUMIFS(Data!$Q$2:$Q$26,Data!$A$2:$A$26,SUMIFS(Sequence!$C:$C,Sequence!$A:$A,$B$9,Sequence!$B:$B,4)&amp;"|"&amp;"N"),3))</x:f>
        <x:v>#N/A</x:v>
      </x:c>
      <x:c r="AL9" s="4" t="e">
        <x:f>IF(AJ9="","",IF(OR(AJ9&gt;=0.5,AND(AK9&gt;0.1,AJ9&gt;=AK9)),"X",IF(AJ9&lt;=0.1,"Y","–")))</x:f>
        <x:v>#N/A</x:v>
      </x:c>
      <x:c r="AM9" s="4" t="e">
        <x:f>IF(OR(AG9="A",Responses!$AH$10="",Responses!$AH$10=0),"",IF(_xlfn.MAXIFS(Data!$Q$2:$Q$26,Data!$B$2:$B$26,SUMIFS(Sequence!$C:$C,Sequence!$A:$A,$B$9,Sequence!$B:$B,4),Data!$I$2:$I$26,1)-SUMIFS(Data!$Q$2:$Q$26,Data!$A$2:$A$26,SUMIFS(Sequence!$C:$C,Sequence!$A:$A,$B$9,Sequence!$B:$B,4)&amp;"|"&amp;INDEX(Selector!$D$2:$D$37,MATCH(SUMIFS(Sequence!$C:$C,Sequence!$A:$A,$B$9,Sequence!$B:$B,4)*100+ROUND(Responses!$AH$10*10,0),Selector!$A$2:$A$37,0)))&gt;=0.3,"X",IF(_xlfn.MAXIFS(Data!$Q$2:$Q$26,Data!$B$2:$B$26,SUMIFS(Sequence!$C:$C,Sequence!$A:$A,$B$9,Sequence!$B:$B,4),Data!$I$2:$I$26,1)-SUMIFS(Data!$Q$2:$Q$26,Data!$A$2:$A$26,SUMIFS(Sequence!$C:$C,Sequence!$A:$A,$B$9,Sequence!$B:$B,4)&amp;"|"&amp;INDEX(Selector!$D$2:$D$37,MATCH(SUMIFS(Sequence!$C:$C,Sequence!$A:$A,$B$9,Sequence!$B:$B,4)*100+ROUND(Responses!$AH$10*10,0),Selector!$A$2:$A$37,0)))&lt;=0.05,"Y","–")))</x:f>
        <x:v>#N/A</x:v>
      </x:c>
      <x:c r="AN9" s="4" t="e">
        <x:f>IF(OR(AG9&lt;&gt;"A",Responses!$AG$10=""),"",IF(AND(Responses!$AG$10=1,Responses!$AI$10&gt;=6,Responses!$D$10+Responses!$E$10&gt;=6),"X",IF(OR(AND(Responses!$AG$10&gt;=2,Responses!$D$10+Responses!$E$10&gt;=6),AND(Responses!$AG$10=1,Responses!$C$10&gt;=7)),"Y","–")))</x:f>
        <x:v>#N/A</x:v>
      </x:c>
      <x:c r="AO9" s="4" t="e">
        <x:f>INDEX(Sequence!$D$2:$D$11,MATCH(1,INDEX((Sequence!$A$2:$A$11=$B$9)*(Sequence!$B$2:$B$11=5),0),0))</x:f>
        <x:v>#N/A</x:v>
      </x:c>
      <x:c r="AP9" s="4" t="n">
        <x:f>(Responses!$AJ$10=SUMIFS(Sequence!$E:$E,Sequence!$A:$A,$B$9,Sequence!$B:$B,5))*1+(Responses!$AK$10=SUMIFS(Sequence!$F:$F,Sequence!$A:$A,$B$9,Sequence!$B:$B,5))*1+(Responses!$AL$10=SUMIFS(Sequence!$G:$G,Sequence!$A:$A,$B$9,Sequence!$B:$B,5))*1</x:f>
        <x:v>3</x:v>
      </x:c>
      <x:c r="AQ9" s="4" t="str">
        <x:f>IF(Responses!$AJ$10="","",IF(AP9&lt;=1,"X",IF(AP9=3,"Y","–")))</x:f>
        <x:v>Y</x:v>
      </x:c>
      <x:c r="AR9" s="4" t="e">
        <x:f>IF(OR(AO9="A",Responses!$AM$10=""),"",ROUND(_xlfn.MAXIFS(Data!$Q$2:$Q$26,Data!$B$2:$B$26,SUMIFS(Sequence!$C:$C,Sequence!$A:$A,$B$9,Sequence!$B:$B,5),Data!$H$2:$H$26,1)-SUMIFS(Data!$Q$2:$Q$26,Data!$A$2:$A$26,SUMIFS(Sequence!$C:$C,Sequence!$A:$A,$B$9,Sequence!$B:$B,5)&amp;"|"&amp;IF(AO9="R",INDEX(Repetition!$D$2:$D$20,MATCH($B$9&amp;"|"&amp;Responses!$AM$10,Repetition!$A$2:$A$20,0)),Responses!$AM$10)),3))</x:f>
        <x:v>#N/A</x:v>
      </x:c>
      <x:c r="AS9" s="4" t="e">
        <x:f>IF(AO9="A","",ROUND(_xlfn.MAXIFS(Data!$Q$2:$Q$26,Data!$B$2:$B$26,SUMIFS(Sequence!$C:$C,Sequence!$A:$A,$B$9,Sequence!$B:$B,5),Data!$H$2:$H$26,1)-SUMIFS(Data!$Q$2:$Q$26,Data!$A$2:$A$26,SUMIFS(Sequence!$C:$C,Sequence!$A:$A,$B$9,Sequence!$B:$B,5)&amp;"|"&amp;"N"),3))</x:f>
        <x:v>#N/A</x:v>
      </x:c>
      <x:c r="AT9" s="4" t="e">
        <x:f>IF(AR9="","",IF(OR(AR9&gt;=0.5,AND(AS9&gt;0.1,AR9&gt;=AS9)),"X",IF(AR9&lt;=0.1,"Y","–")))</x:f>
        <x:v>#N/A</x:v>
      </x:c>
      <x:c r="AU9" s="4" t="e">
        <x:f>IF(OR(AO9="A",Responses!$AN$10="",Responses!$AN$10=0),"",IF(_xlfn.MAXIFS(Data!$Q$2:$Q$26,Data!$B$2:$B$26,SUMIFS(Sequence!$C:$C,Sequence!$A:$A,$B$9,Sequence!$B:$B,5),Data!$I$2:$I$26,1)-SUMIFS(Data!$Q$2:$Q$26,Data!$A$2:$A$26,SUMIFS(Sequence!$C:$C,Sequence!$A:$A,$B$9,Sequence!$B:$B,5)&amp;"|"&amp;INDEX(Selector!$D$2:$D$37,MATCH(SUMIFS(Sequence!$C:$C,Sequence!$A:$A,$B$9,Sequence!$B:$B,5)*100+ROUND(Responses!$AN$10*10,0),Selector!$A$2:$A$37,0)))&gt;=0.3,"X",IF(_xlfn.MAXIFS(Data!$Q$2:$Q$26,Data!$B$2:$B$26,SUMIFS(Sequence!$C:$C,Sequence!$A:$A,$B$9,Sequence!$B:$B,5),Data!$I$2:$I$26,1)-SUMIFS(Data!$Q$2:$Q$26,Data!$A$2:$A$26,SUMIFS(Sequence!$C:$C,Sequence!$A:$A,$B$9,Sequence!$B:$B,5)&amp;"|"&amp;INDEX(Selector!$D$2:$D$37,MATCH(SUMIFS(Sequence!$C:$C,Sequence!$A:$A,$B$9,Sequence!$B:$B,5)*100+ROUND(Responses!$AN$10*10,0),Selector!$A$2:$A$37,0)))&lt;=0.05,"Y","–")))</x:f>
        <x:v>#N/A</x:v>
      </x:c>
      <x:c r="AV9" s="4" t="e">
        <x:f>IF(OR(AO9&lt;&gt;"A",Responses!$AM$10=""),"",IF(AND(Responses!$AM$10=1,Responses!$AO$10&gt;=6,Responses!$D$10+Responses!$E$10&gt;=6),"X",IF(OR(AND(Responses!$AM$10&gt;=2,Responses!$D$10+Responses!$E$10&gt;=6),AND(Responses!$AM$10=1,Responses!$C$10&gt;=7)),"Y","–")))</x:f>
        <x:v>#N/A</x:v>
      </x:c>
      <x:c r="AW9" s="4" t="str">
        <x:f>IF(Responses!$BE$10="","",IF(OR(Responses!$BE$10&lt;25,Responses!$BE$10&gt;150),"X",IF(AND(Responses!$BE$10&gt;=45,Responses!$BE$10&lt;=100),"Y","–")))</x:f>
      </x:c>
      <x:c r="AX9" s="4" t="e">
        <x:f>IF(OR(AR9="",IF($B$9="X",AB9,L9)=""),"",ABS(AR9-IF($B$9="X",AB9,L9)))</x:f>
        <x:v>#N/A</x:v>
      </x:c>
      <x:c r="AY9" s="4" t="e">
        <x:f>IF(AX9="","",IF(AX9&gt;0.25,"X",IF(AX9=0,"Y","–")))</x:f>
        <x:v>#N/A</x:v>
      </x:c>
      <x:c r="AZ9" s="4" t="n">
        <x:f>(Responses!$AP$10=INDEX(VignetteKeys!$B$2:$B$3,MATCH($B$9,VignetteKeys!$A$2:$A$3,0)))*1+(Responses!$AQ$10=INDEX(VignetteKeys!$C$2:$C$3,MATCH($B$9,VignetteKeys!$A$2:$A$3,0)))*1+(Responses!$AR$10=INDEX(VignetteKeys!$D$2:$D$3,MATCH($B$9,VignetteKeys!$A$2:$A$3,0)))*1+(Responses!$AS$10=INDEX(VignetteKeys!$E$2:$E$3,MATCH($B$9,VignetteKeys!$A$2:$A$3,0)))*1</x:f>
        <x:v>4</x:v>
      </x:c>
      <x:c r="BA9" s="4" t="str">
        <x:f>IF(Responses!$AP$10="","",IF(OR(AND(Responses!$AP$10&lt;&gt;INDEX(VignetteKeys!$B$2:$B$3,MATCH($B$9,VignetteKeys!$A$2:$A$3,0)),Responses!$AQ$10&lt;&gt;INDEX(VignetteKeys!$C$2:$C$3,MATCH($B$9,VignetteKeys!$A$2:$A$3,0))),AND(Responses!$AR$10&lt;&gt;INDEX(VignetteKeys!$D$2:$D$3,MATCH($B$9,VignetteKeys!$A$2:$A$3,0)),Responses!$AS$10&lt;&gt;INDEX(VignetteKeys!$E$2:$E$3,MATCH($B$9,VignetteKeys!$A$2:$A$3,0)))),"X",IF(AZ9=4,"Y","–")))</x:f>
        <x:v>Y</x:v>
      </x:c>
      <x:c r="BB9" s="4" t="str">
        <x:f>IF(Responses!$AT$10="","",IF(Responses!$AT$10&lt;&gt;4,"X","Y"))</x:f>
        <x:v>Y</x:v>
      </x:c>
      <x:c r="BC9" s="4" t="n">
        <x:f>IF(COUNT(Responses!$AU$10:$BD$10)&lt;10,"",((Responses!$AU$10-1)+(Responses!$AW$10-1)+(Responses!$AY$10-1)+(Responses!$BA$10-1)+(Responses!$BC$10-1)+(5-Responses!$AV$10)+(5-Responses!$AX$10)+(5-Responses!$AZ$10)+(5-Responses!$BB$10)+(5-Responses!$BD$10))*2.5)</x:f>
        <x:v>80</x:v>
      </x:c>
      <x:c r="BD9" s="4" t="str">
        <x:f>IF(BC9="","",IF(BC9&lt;50,"X",IF(BC9&gt;=68,"Y","–")))</x:f>
        <x:v>Y</x:v>
      </x:c>
      <x:c r="BE9" s="4" t="e">
        <x:f>IF((IF(AND(I9&lt;&gt;"A",ISNUMBER(Responses!$Q$10)),1,0)+IF(AND(Q9&lt;&gt;"A",ISNUMBER(Responses!$W$10)),1,0)+IF(AND(Y9&lt;&gt;"A",ISNUMBER(Responses!$AC$10)),1,0)+IF(AND(AG9&lt;&gt;"A",ISNUMBER(Responses!$AI$10)),1,0)+IF(AND(AO9&lt;&gt;"A",ISNUMBER(Responses!$AO$10)),1,0))=0,"",ROUND((IF(AND(I9&lt;&gt;"A",ISNUMBER(Responses!$Q$10)),Responses!$Q$10,0)+IF(AND(Q9&lt;&gt;"A",ISNUMBER(Responses!$W$10)),Responses!$W$10,0)+IF(AND(Y9&lt;&gt;"A",ISNUMBER(Responses!$AC$10)),Responses!$AC$10,0)+IF(AND(AG9&lt;&gt;"A",ISNUMBER(Responses!$AI$10)),Responses!$AI$10,0)+IF(AND(AO9&lt;&gt;"A",ISNUMBER(Responses!$AO$10)),Responses!$AO$10,0))/(IF(AND(I9&lt;&gt;"A",ISNUMBER(Responses!$Q$10)),1,0)+IF(AND(Q9&lt;&gt;"A",ISNUMBER(Responses!$W$10)),1,0)+IF(AND(Y9&lt;&gt;"A",ISNUMBER(Responses!$AC$10)),1,0)+IF(AND(AG9&lt;&gt;"A",ISNUMBER(Responses!$AI$10)),1,0)+IF(AND(AO9&lt;&gt;"A",ISNUMBER(Responses!$AO$10)),1,0)),2))</x:f>
        <x:v>#N/A</x:v>
      </x:c>
      <x:c r="BF9" s="4" t="e">
        <x:f>IF((IF(AND(I9="A",ISNUMBER(Responses!$Q$10)),1,0)+IF(AND(Q9="A",ISNUMBER(Responses!$W$10)),1,0)+IF(AND(Y9="A",ISNUMBER(Responses!$AC$10)),1,0)+IF(AND(AG9="A",ISNUMBER(Responses!$AI$10)),1,0)+IF(AND(AO9="A",ISNUMBER(Responses!$AO$10)),1,0))=0,"",ROUND((IF(AND(I9="A",ISNUMBER(Responses!$Q$10)),Responses!$Q$10,0)+IF(AND(Q9="A",ISNUMBER(Responses!$W$10)),Responses!$W$10,0)+IF(AND(Y9="A",ISNUMBER(Responses!$AC$10)),Responses!$AC$10,0)+IF(AND(AG9="A",ISNUMBER(Responses!$AI$10)),Responses!$AI$10,0)+IF(AND(AO9="A",ISNUMBER(Responses!$AO$10)),Responses!$AO$10,0))/(IF(AND(I9="A",ISNUMBER(Responses!$Q$10)),1,0)+IF(AND(Q9="A",ISNUMBER(Responses!$W$10)),1,0)+IF(AND(Y9="A",ISNUMBER(Responses!$AC$10)),1,0)+IF(AND(AG9="A",ISNUMBER(Responses!$AI$10)),1,0)+IF(AND(AO9="A",ISNUMBER(Responses!$AO$10)),1,0)),2))</x:f>
        <x:v>#N/A</x:v>
      </x:c>
      <x:c r="BG9" s="4" t="e">
        <x:f>IF(OR(BE9="",BF9=""),"",IF(BF9-BE9&gt;=3,"X",IF(BE9&gt;=BF9,"Y","–")))</x:f>
        <x:v>#N/A</x:v>
      </x:c>
      <x:c r="BH9" s="4" t="e">
        <x:f>(D9="X")*1+(F9="X")*1+(H9="X")*1+(K9="X")*1+(N9="X")*1+(O9="X")*1+(P9="X")*1+(S9="X")*1+(V9="X")*1+(W9="X")*1+(X9="X")*1+(AA9="X")*1+(AD9="X")*1+(AE9="X")*1+(AF9="X")*1+(AI9="X")*1+(AL9="X")*1+(AM9="X")*1+(AN9="X")*1+(AQ9="X")*1+(AT9="X")*1+(AU9="X")*1+(AV9="X")*1+(AW9="X")*1+(AY9="X")*1+(BA9="X")*1+(BB9="X")*1+(BD9="X")*1+(BG9="X")*1</x:f>
        <x:v>#N/A</x:v>
      </x:c>
    </x:row>
    <x:row r="10">
      <x:c r="A10" s="4" t="str">
        <x:f>Responses!$A$11</x:f>
        <x:v>P09</x:v>
      </x:c>
      <x:c r="B10" s="4" t="str">
        <x:f>Responses!$B$11</x:f>
        <x:v>X</x:v>
      </x:c>
      <x:c r="C10" s="4" t="n">
        <x:f>SUM(Responses!$C$11,Responses!$D$11,Responses!$E$11)</x:f>
        <x:v>10</x:v>
      </x:c>
      <x:c r="D10" s="4" t="str">
        <x:f>IF(C10=0,"",IF(C10&lt;&gt;10,"X","Y"))</x:f>
        <x:v>Y</x:v>
      </x:c>
      <x:c r="E10" s="4" t="n">
        <x:f>IF(OR(Responses!$F$11="",Responses!$F$11&gt;6),"",MAX(ABS(Responses!$C$11-INDEX(Profiles!$C$2:$C$7,Responses!$F$11)),ABS(Responses!$D$11-INDEX(Profiles!$D$2:$D$7,Responses!$F$11)),ABS(Responses!$E$11-INDEX(Profiles!$E$2:$E$7,Responses!$F$11))))</x:f>
        <x:v>1.5</x:v>
      </x:c>
      <x:c r="F10" s="4" t="str">
        <x:f>IF(E10="","",IF(E10&gt;=4,"X",IF(E10&lt;=2,"Y","–")))</x:f>
        <x:v>Y</x:v>
      </x:c>
      <x:c r="G10" s="4" t="n">
        <x:f>(Responses!$G$11=2)*1+(Responses!$H$11=1)*1+(Responses!$I$11=2)*1+(Responses!$J$11=2)*1+(Responses!$K$11=2)*1</x:f>
        <x:v>5</x:v>
      </x:c>
      <x:c r="H10" s="4" t="str">
        <x:f>IF(Responses!$G$11="","",IF(G10&lt;=3,"X",IF(G10=5,"Y","–")))</x:f>
        <x:v>Y</x:v>
      </x:c>
      <x:c r="I10" s="4" t="str">
        <x:f>INDEX(Sequence!$D$2:$D$11,MATCH(1,INDEX((Sequence!$A$2:$A$11=$B$10)*(Sequence!$B$2:$B$11=1),0),0))</x:f>
        <x:v>A</x:v>
      </x:c>
      <x:c r="J10" s="4" t="n">
        <x:f>(Responses!$L$11=SUMIFS(Sequence!$E:$E,Sequence!$A:$A,$B$10,Sequence!$B:$B,1))*1+(Responses!$M$11=SUMIFS(Sequence!$F:$F,Sequence!$A:$A,$B$10,Sequence!$B:$B,1))*1+(Responses!$N$11=SUMIFS(Sequence!$G:$G,Sequence!$A:$A,$B$10,Sequence!$B:$B,1))*1</x:f>
        <x:v>3</x:v>
      </x:c>
      <x:c r="K10" s="4" t="str">
        <x:f>IF(Responses!$L$11="","",IF(J10&lt;=1,"X",IF(J10=3,"Y","–")))</x:f>
        <x:v>Y</x:v>
      </x:c>
      <x:c r="L10" s="4" t="str">
        <x:f>IF(OR(I10="A",Responses!$O$11=""),"",ROUND(_xlfn.MAXIFS(Data!$R$2:$R$26,Data!$B$2:$B$26,SUMIFS(Sequence!$C:$C,Sequence!$A:$A,$B$10,Sequence!$B:$B,1),Data!$H$2:$H$26,1)-SUMIFS(Data!$R$2:$R$26,Data!$A$2:$A$26,SUMIFS(Sequence!$C:$C,Sequence!$A:$A,$B$10,Sequence!$B:$B,1)&amp;"|"&amp;IF(I10="R",INDEX(Repetition!$D$2:$D$20,MATCH($B$10&amp;"|"&amp;Responses!$O$11,Repetition!$A$2:$A$20,0)),Responses!$O$11)),3))</x:f>
      </x:c>
      <x:c r="M10" s="4" t="str">
        <x:f>IF(I10="A","",ROUND(_xlfn.MAXIFS(Data!$R$2:$R$26,Data!$B$2:$B$26,SUMIFS(Sequence!$C:$C,Sequence!$A:$A,$B$10,Sequence!$B:$B,1),Data!$H$2:$H$26,1)-SUMIFS(Data!$R$2:$R$26,Data!$A$2:$A$26,SUMIFS(Sequence!$C:$C,Sequence!$A:$A,$B$10,Sequence!$B:$B,1)&amp;"|"&amp;"N"),3))</x:f>
      </x:c>
      <x:c r="N10" s="4" t="str">
        <x:f>IF(L10="","",IF(OR(L10&gt;=0.5,AND(M10&gt;0.1,L10&gt;=M10)),"X",IF(L10&lt;=0.1,"Y","–")))</x:f>
      </x:c>
      <x:c r="O10" s="4" t="str">
        <x:f>IF(OR(I10="A",Responses!$P$11="",Responses!$P$11=0),"",IF(_xlfn.MAXIFS(Data!$R$2:$R$26,Data!$B$2:$B$26,SUMIFS(Sequence!$C:$C,Sequence!$A:$A,$B$10,Sequence!$B:$B,1),Data!$I$2:$I$26,1)-SUMIFS(Data!$R$2:$R$26,Data!$A$2:$A$26,SUMIFS(Sequence!$C:$C,Sequence!$A:$A,$B$10,Sequence!$B:$B,1)&amp;"|"&amp;INDEX(Selector!$D$2:$D$37,MATCH(SUMIFS(Sequence!$C:$C,Sequence!$A:$A,$B$10,Sequence!$B:$B,1)*100+ROUND(Responses!$P$11*10,0),Selector!$A$2:$A$37,0)))&gt;=0.3,"X",IF(_xlfn.MAXIFS(Data!$R$2:$R$26,Data!$B$2:$B$26,SUMIFS(Sequence!$C:$C,Sequence!$A:$A,$B$10,Sequence!$B:$B,1),Data!$I$2:$I$26,1)-SUMIFS(Data!$R$2:$R$26,Data!$A$2:$A$26,SUMIFS(Sequence!$C:$C,Sequence!$A:$A,$B$10,Sequence!$B:$B,1)&amp;"|"&amp;INDEX(Selector!$D$2:$D$37,MATCH(SUMIFS(Sequence!$C:$C,Sequence!$A:$A,$B$10,Sequence!$B:$B,1)*100+ROUND(Responses!$P$11*10,0),Selector!$A$2:$A$37,0)))&lt;=0.05,"Y","–")))</x:f>
      </x:c>
      <x:c r="P10" s="4" t="str">
        <x:f>IF(OR(I10&lt;&gt;"A",Responses!$O$11=""),"",IF(AND(Responses!$O$11=1,Responses!$Q$11&gt;=6,Responses!$D$11+Responses!$E$11&gt;=6),"X",IF(OR(AND(Responses!$O$11&gt;=2,Responses!$D$11+Responses!$E$11&gt;=6),AND(Responses!$O$11=1,Responses!$C$11&gt;=7)),"Y","–")))</x:f>
        <x:v>X</x:v>
      </x:c>
      <x:c r="Q10" s="4" t="e">
        <x:f>INDEX(Sequence!$D$2:$D$11,MATCH(1,INDEX((Sequence!$A$2:$A$11=$B$10)*(Sequence!$B$2:$B$11=2),0),0))</x:f>
        <x:v>#N/A</x:v>
      </x:c>
      <x:c r="R10" s="4" t="n">
        <x:f>(Responses!$R$11=SUMIFS(Sequence!$E:$E,Sequence!$A:$A,$B$10,Sequence!$B:$B,2))*1+(Responses!$S$11=SUMIFS(Sequence!$F:$F,Sequence!$A:$A,$B$10,Sequence!$B:$B,2))*1+(Responses!$T$11=SUMIFS(Sequence!$G:$G,Sequence!$A:$A,$B$10,Sequence!$B:$B,2))*1</x:f>
        <x:v>3</x:v>
      </x:c>
      <x:c r="S10" s="4" t="str">
        <x:f>IF(Responses!$R$11="","",IF(R10&lt;=1,"X",IF(R10=3,"Y","–")))</x:f>
        <x:v>Y</x:v>
      </x:c>
      <x:c r="T10" s="4" t="e">
        <x:f>IF(OR(Q10="A",Responses!$U$11=""),"",ROUND(_xlfn.MAXIFS(Data!$R$2:$R$26,Data!$B$2:$B$26,SUMIFS(Sequence!$C:$C,Sequence!$A:$A,$B$10,Sequence!$B:$B,2),Data!$H$2:$H$26,1)-SUMIFS(Data!$R$2:$R$26,Data!$A$2:$A$26,SUMIFS(Sequence!$C:$C,Sequence!$A:$A,$B$10,Sequence!$B:$B,2)&amp;"|"&amp;IF(Q10="R",INDEX(Repetition!$D$2:$D$20,MATCH($B$10&amp;"|"&amp;Responses!$U$11,Repetition!$A$2:$A$20,0)),Responses!$U$11)),3))</x:f>
        <x:v>#N/A</x:v>
      </x:c>
      <x:c r="U10" s="4" t="e">
        <x:f>IF(Q10="A","",ROUND(_xlfn.MAXIFS(Data!$R$2:$R$26,Data!$B$2:$B$26,SUMIFS(Sequence!$C:$C,Sequence!$A:$A,$B$10,Sequence!$B:$B,2),Data!$H$2:$H$26,1)-SUMIFS(Data!$R$2:$R$26,Data!$A$2:$A$26,SUMIFS(Sequence!$C:$C,Sequence!$A:$A,$B$10,Sequence!$B:$B,2)&amp;"|"&amp;"N"),3))</x:f>
        <x:v>#N/A</x:v>
      </x:c>
      <x:c r="V10" s="4" t="e">
        <x:f>IF(T10="","",IF(OR(T10&gt;=0.5,AND(U10&gt;0.1,T10&gt;=U10)),"X",IF(T10&lt;=0.1,"Y","–")))</x:f>
        <x:v>#N/A</x:v>
      </x:c>
      <x:c r="W10" s="4" t="e">
        <x:f>IF(OR(Q10="A",Responses!$V$11="",Responses!$V$11=0),"",IF(_xlfn.MAXIFS(Data!$R$2:$R$26,Data!$B$2:$B$26,SUMIFS(Sequence!$C:$C,Sequence!$A:$A,$B$10,Sequence!$B:$B,2),Data!$I$2:$I$26,1)-SUMIFS(Data!$R$2:$R$26,Data!$A$2:$A$26,SUMIFS(Sequence!$C:$C,Sequence!$A:$A,$B$10,Sequence!$B:$B,2)&amp;"|"&amp;INDEX(Selector!$D$2:$D$37,MATCH(SUMIFS(Sequence!$C:$C,Sequence!$A:$A,$B$10,Sequence!$B:$B,2)*100+ROUND(Responses!$V$11*10,0),Selector!$A$2:$A$37,0)))&gt;=0.3,"X",IF(_xlfn.MAXIFS(Data!$R$2:$R$26,Data!$B$2:$B$26,SUMIFS(Sequence!$C:$C,Sequence!$A:$A,$B$10,Sequence!$B:$B,2),Data!$I$2:$I$26,1)-SUMIFS(Data!$R$2:$R$26,Data!$A$2:$A$26,SUMIFS(Sequence!$C:$C,Sequence!$A:$A,$B$10,Sequence!$B:$B,2)&amp;"|"&amp;INDEX(Selector!$D$2:$D$37,MATCH(SUMIFS(Sequence!$C:$C,Sequence!$A:$A,$B$10,Sequence!$B:$B,2)*100+ROUND(Responses!$V$11*10,0),Selector!$A$2:$A$37,0)))&lt;=0.05,"Y","–")))</x:f>
        <x:v>#N/A</x:v>
      </x:c>
      <x:c r="X10" s="4" t="e">
        <x:f>IF(OR(Q10&lt;&gt;"A",Responses!$U$11=""),"",IF(AND(Responses!$U$11=1,Responses!$W$11&gt;=6,Responses!$D$11+Responses!$E$11&gt;=6),"X",IF(OR(AND(Responses!$U$11&gt;=2,Responses!$D$11+Responses!$E$11&gt;=6),AND(Responses!$U$11=1,Responses!$C$11&gt;=7)),"Y","–")))</x:f>
        <x:v>#N/A</x:v>
      </x:c>
      <x:c r="Y10" s="4" t="e">
        <x:f>INDEX(Sequence!$D$2:$D$11,MATCH(1,INDEX((Sequence!$A$2:$A$11=$B$10)*(Sequence!$B$2:$B$11=3),0),0))</x:f>
        <x:v>#N/A</x:v>
      </x:c>
      <x:c r="Z10" s="4" t="n">
        <x:f>(Responses!$X$11=SUMIFS(Sequence!$E:$E,Sequence!$A:$A,$B$10,Sequence!$B:$B,3))*1+(Responses!$Y$11=SUMIFS(Sequence!$F:$F,Sequence!$A:$A,$B$10,Sequence!$B:$B,3))*1+(Responses!$Z$11=SUMIFS(Sequence!$G:$G,Sequence!$A:$A,$B$10,Sequence!$B:$B,3))*1</x:f>
        <x:v>3</x:v>
      </x:c>
      <x:c r="AA10" s="4" t="str">
        <x:f>IF(Responses!$X$11="","",IF(Z10&lt;=1,"X",IF(Z10=3,"Y","–")))</x:f>
        <x:v>Y</x:v>
      </x:c>
      <x:c r="AB10" s="4" t="e">
        <x:f>IF(OR(Y10="A",Responses!$AA$11=""),"",ROUND(_xlfn.MAXIFS(Data!$R$2:$R$26,Data!$B$2:$B$26,SUMIFS(Sequence!$C:$C,Sequence!$A:$A,$B$10,Sequence!$B:$B,3),Data!$H$2:$H$26,1)-SUMIFS(Data!$R$2:$R$26,Data!$A$2:$A$26,SUMIFS(Sequence!$C:$C,Sequence!$A:$A,$B$10,Sequence!$B:$B,3)&amp;"|"&amp;IF(Y10="R",INDEX(Repetition!$D$2:$D$20,MATCH($B$10&amp;"|"&amp;Responses!$AA$11,Repetition!$A$2:$A$20,0)),Responses!$AA$11)),3))</x:f>
        <x:v>#N/A</x:v>
      </x:c>
      <x:c r="AC10" s="4" t="e">
        <x:f>IF(Y10="A","",ROUND(_xlfn.MAXIFS(Data!$R$2:$R$26,Data!$B$2:$B$26,SUMIFS(Sequence!$C:$C,Sequence!$A:$A,$B$10,Sequence!$B:$B,3),Data!$H$2:$H$26,1)-SUMIFS(Data!$R$2:$R$26,Data!$A$2:$A$26,SUMIFS(Sequence!$C:$C,Sequence!$A:$A,$B$10,Sequence!$B:$B,3)&amp;"|"&amp;"N"),3))</x:f>
        <x:v>#N/A</x:v>
      </x:c>
      <x:c r="AD10" s="4" t="e">
        <x:f>IF(AB10="","",IF(OR(AB10&gt;=0.5,AND(AC10&gt;0.1,AB10&gt;=AC10)),"X",IF(AB10&lt;=0.1,"Y","–")))</x:f>
        <x:v>#N/A</x:v>
      </x:c>
      <x:c r="AE10" s="4" t="e">
        <x:f>IF(OR(Y10="A",Responses!$AB$11="",Responses!$AB$11=0),"",IF(_xlfn.MAXIFS(Data!$R$2:$R$26,Data!$B$2:$B$26,SUMIFS(Sequence!$C:$C,Sequence!$A:$A,$B$10,Sequence!$B:$B,3),Data!$I$2:$I$26,1)-SUMIFS(Data!$R$2:$R$26,Data!$A$2:$A$26,SUMIFS(Sequence!$C:$C,Sequence!$A:$A,$B$10,Sequence!$B:$B,3)&amp;"|"&amp;INDEX(Selector!$D$2:$D$37,MATCH(SUMIFS(Sequence!$C:$C,Sequence!$A:$A,$B$10,Sequence!$B:$B,3)*100+ROUND(Responses!$AB$11*10,0),Selector!$A$2:$A$37,0)))&gt;=0.3,"X",IF(_xlfn.MAXIFS(Data!$R$2:$R$26,Data!$B$2:$B$26,SUMIFS(Sequence!$C:$C,Sequence!$A:$A,$B$10,Sequence!$B:$B,3),Data!$I$2:$I$26,1)-SUMIFS(Data!$R$2:$R$26,Data!$A$2:$A$26,SUMIFS(Sequence!$C:$C,Sequence!$A:$A,$B$10,Sequence!$B:$B,3)&amp;"|"&amp;INDEX(Selector!$D$2:$D$37,MATCH(SUMIFS(Sequence!$C:$C,Sequence!$A:$A,$B$10,Sequence!$B:$B,3)*100+ROUND(Responses!$AB$11*10,0),Selector!$A$2:$A$37,0)))&lt;=0.05,"Y","–")))</x:f>
        <x:v>#N/A</x:v>
      </x:c>
      <x:c r="AF10" s="4" t="e">
        <x:f>IF(OR(Y10&lt;&gt;"A",Responses!$AA$11=""),"",IF(AND(Responses!$AA$11=1,Responses!$AC$11&gt;=6,Responses!$D$11+Responses!$E$11&gt;=6),"X",IF(OR(AND(Responses!$AA$11&gt;=2,Responses!$D$11+Responses!$E$11&gt;=6),AND(Responses!$AA$11=1,Responses!$C$11&gt;=7)),"Y","–")))</x:f>
        <x:v>#N/A</x:v>
      </x:c>
      <x:c r="AG10" s="4" t="e">
        <x:f>INDEX(Sequence!$D$2:$D$11,MATCH(1,INDEX((Sequence!$A$2:$A$11=$B$10)*(Sequence!$B$2:$B$11=4),0),0))</x:f>
        <x:v>#N/A</x:v>
      </x:c>
      <x:c r="AH10" s="4" t="n">
        <x:f>(Responses!$AD$11=SUMIFS(Sequence!$E:$E,Sequence!$A:$A,$B$10,Sequence!$B:$B,4))*1+(Responses!$AE$11=SUMIFS(Sequence!$F:$F,Sequence!$A:$A,$B$10,Sequence!$B:$B,4))*1+(Responses!$AF$11=SUMIFS(Sequence!$G:$G,Sequence!$A:$A,$B$10,Sequence!$B:$B,4))*1</x:f>
        <x:v>3</x:v>
      </x:c>
      <x:c r="AI10" s="4" t="str">
        <x:f>IF(Responses!$AD$11="","",IF(AH10&lt;=1,"X",IF(AH10=3,"Y","–")))</x:f>
        <x:v>Y</x:v>
      </x:c>
      <x:c r="AJ10" s="4" t="e">
        <x:f>IF(OR(AG10="A",Responses!$AG$11=""),"",ROUND(_xlfn.MAXIFS(Data!$R$2:$R$26,Data!$B$2:$B$26,SUMIFS(Sequence!$C:$C,Sequence!$A:$A,$B$10,Sequence!$B:$B,4),Data!$H$2:$H$26,1)-SUMIFS(Data!$R$2:$R$26,Data!$A$2:$A$26,SUMIFS(Sequence!$C:$C,Sequence!$A:$A,$B$10,Sequence!$B:$B,4)&amp;"|"&amp;IF(AG10="R",INDEX(Repetition!$D$2:$D$20,MATCH($B$10&amp;"|"&amp;Responses!$AG$11,Repetition!$A$2:$A$20,0)),Responses!$AG$11)),3))</x:f>
        <x:v>#N/A</x:v>
      </x:c>
      <x:c r="AK10" s="4" t="e">
        <x:f>IF(AG10="A","",ROUND(_xlfn.MAXIFS(Data!$R$2:$R$26,Data!$B$2:$B$26,SUMIFS(Sequence!$C:$C,Sequence!$A:$A,$B$10,Sequence!$B:$B,4),Data!$H$2:$H$26,1)-SUMIFS(Data!$R$2:$R$26,Data!$A$2:$A$26,SUMIFS(Sequence!$C:$C,Sequence!$A:$A,$B$10,Sequence!$B:$B,4)&amp;"|"&amp;"N"),3))</x:f>
        <x:v>#N/A</x:v>
      </x:c>
      <x:c r="AL10" s="4" t="e">
        <x:f>IF(AJ10="","",IF(OR(AJ10&gt;=0.5,AND(AK10&gt;0.1,AJ10&gt;=AK10)),"X",IF(AJ10&lt;=0.1,"Y","–")))</x:f>
        <x:v>#N/A</x:v>
      </x:c>
      <x:c r="AM10" s="4" t="e">
        <x:f>IF(OR(AG10="A",Responses!$AH$11="",Responses!$AH$11=0),"",IF(_xlfn.MAXIFS(Data!$R$2:$R$26,Data!$B$2:$B$26,SUMIFS(Sequence!$C:$C,Sequence!$A:$A,$B$10,Sequence!$B:$B,4),Data!$I$2:$I$26,1)-SUMIFS(Data!$R$2:$R$26,Data!$A$2:$A$26,SUMIFS(Sequence!$C:$C,Sequence!$A:$A,$B$10,Sequence!$B:$B,4)&amp;"|"&amp;INDEX(Selector!$D$2:$D$37,MATCH(SUMIFS(Sequence!$C:$C,Sequence!$A:$A,$B$10,Sequence!$B:$B,4)*100+ROUND(Responses!$AH$11*10,0),Selector!$A$2:$A$37,0)))&gt;=0.3,"X",IF(_xlfn.MAXIFS(Data!$R$2:$R$26,Data!$B$2:$B$26,SUMIFS(Sequence!$C:$C,Sequence!$A:$A,$B$10,Sequence!$B:$B,4),Data!$I$2:$I$26,1)-SUMIFS(Data!$R$2:$R$26,Data!$A$2:$A$26,SUMIFS(Sequence!$C:$C,Sequence!$A:$A,$B$10,Sequence!$B:$B,4)&amp;"|"&amp;INDEX(Selector!$D$2:$D$37,MATCH(SUMIFS(Sequence!$C:$C,Sequence!$A:$A,$B$10,Sequence!$B:$B,4)*100+ROUND(Responses!$AH$11*10,0),Selector!$A$2:$A$37,0)))&lt;=0.05,"Y","–")))</x:f>
        <x:v>#N/A</x:v>
      </x:c>
      <x:c r="AN10" s="4" t="e">
        <x:f>IF(OR(AG10&lt;&gt;"A",Responses!$AG$11=""),"",IF(AND(Responses!$AG$11=1,Responses!$AI$11&gt;=6,Responses!$D$11+Responses!$E$11&gt;=6),"X",IF(OR(AND(Responses!$AG$11&gt;=2,Responses!$D$11+Responses!$E$11&gt;=6),AND(Responses!$AG$11=1,Responses!$C$11&gt;=7)),"Y","–")))</x:f>
        <x:v>#N/A</x:v>
      </x:c>
      <x:c r="AO10" s="4" t="e">
        <x:f>INDEX(Sequence!$D$2:$D$11,MATCH(1,INDEX((Sequence!$A$2:$A$11=$B$10)*(Sequence!$B$2:$B$11=5),0),0))</x:f>
        <x:v>#N/A</x:v>
      </x:c>
      <x:c r="AP10" s="4" t="n">
        <x:f>(Responses!$AJ$11=SUMIFS(Sequence!$E:$E,Sequence!$A:$A,$B$10,Sequence!$B:$B,5))*1+(Responses!$AK$11=SUMIFS(Sequence!$F:$F,Sequence!$A:$A,$B$10,Sequence!$B:$B,5))*1+(Responses!$AL$11=SUMIFS(Sequence!$G:$G,Sequence!$A:$A,$B$10,Sequence!$B:$B,5))*1</x:f>
        <x:v>3</x:v>
      </x:c>
      <x:c r="AQ10" s="4" t="str">
        <x:f>IF(Responses!$AJ$11="","",IF(AP10&lt;=1,"X",IF(AP10=3,"Y","–")))</x:f>
        <x:v>Y</x:v>
      </x:c>
      <x:c r="AR10" s="4" t="e">
        <x:f>IF(OR(AO10="A",Responses!$AM$11=""),"",ROUND(_xlfn.MAXIFS(Data!$R$2:$R$26,Data!$B$2:$B$26,SUMIFS(Sequence!$C:$C,Sequence!$A:$A,$B$10,Sequence!$B:$B,5),Data!$H$2:$H$26,1)-SUMIFS(Data!$R$2:$R$26,Data!$A$2:$A$26,SUMIFS(Sequence!$C:$C,Sequence!$A:$A,$B$10,Sequence!$B:$B,5)&amp;"|"&amp;IF(AO10="R",INDEX(Repetition!$D$2:$D$20,MATCH($B$10&amp;"|"&amp;Responses!$AM$11,Repetition!$A$2:$A$20,0)),Responses!$AM$11)),3))</x:f>
        <x:v>#N/A</x:v>
      </x:c>
      <x:c r="AS10" s="4" t="e">
        <x:f>IF(AO10="A","",ROUND(_xlfn.MAXIFS(Data!$R$2:$R$26,Data!$B$2:$B$26,SUMIFS(Sequence!$C:$C,Sequence!$A:$A,$B$10,Sequence!$B:$B,5),Data!$H$2:$H$26,1)-SUMIFS(Data!$R$2:$R$26,Data!$A$2:$A$26,SUMIFS(Sequence!$C:$C,Sequence!$A:$A,$B$10,Sequence!$B:$B,5)&amp;"|"&amp;"N"),3))</x:f>
        <x:v>#N/A</x:v>
      </x:c>
      <x:c r="AT10" s="4" t="e">
        <x:f>IF(AR10="","",IF(OR(AR10&gt;=0.5,AND(AS10&gt;0.1,AR10&gt;=AS10)),"X",IF(AR10&lt;=0.1,"Y","–")))</x:f>
        <x:v>#N/A</x:v>
      </x:c>
      <x:c r="AU10" s="4" t="e">
        <x:f>IF(OR(AO10="A",Responses!$AN$11="",Responses!$AN$11=0),"",IF(_xlfn.MAXIFS(Data!$R$2:$R$26,Data!$B$2:$B$26,SUMIFS(Sequence!$C:$C,Sequence!$A:$A,$B$10,Sequence!$B:$B,5),Data!$I$2:$I$26,1)-SUMIFS(Data!$R$2:$R$26,Data!$A$2:$A$26,SUMIFS(Sequence!$C:$C,Sequence!$A:$A,$B$10,Sequence!$B:$B,5)&amp;"|"&amp;INDEX(Selector!$D$2:$D$37,MATCH(SUMIFS(Sequence!$C:$C,Sequence!$A:$A,$B$10,Sequence!$B:$B,5)*100+ROUND(Responses!$AN$11*10,0),Selector!$A$2:$A$37,0)))&gt;=0.3,"X",IF(_xlfn.MAXIFS(Data!$R$2:$R$26,Data!$B$2:$B$26,SUMIFS(Sequence!$C:$C,Sequence!$A:$A,$B$10,Sequence!$B:$B,5),Data!$I$2:$I$26,1)-SUMIFS(Data!$R$2:$R$26,Data!$A$2:$A$26,SUMIFS(Sequence!$C:$C,Sequence!$A:$A,$B$10,Sequence!$B:$B,5)&amp;"|"&amp;INDEX(Selector!$D$2:$D$37,MATCH(SUMIFS(Sequence!$C:$C,Sequence!$A:$A,$B$10,Sequence!$B:$B,5)*100+ROUND(Responses!$AN$11*10,0),Selector!$A$2:$A$37,0)))&lt;=0.05,"Y","–")))</x:f>
        <x:v>#N/A</x:v>
      </x:c>
      <x:c r="AV10" s="4" t="e">
        <x:f>IF(OR(AO10&lt;&gt;"A",Responses!$AM$11=""),"",IF(AND(Responses!$AM$11=1,Responses!$AO$11&gt;=6,Responses!$D$11+Responses!$E$11&gt;=6),"X",IF(OR(AND(Responses!$AM$11&gt;=2,Responses!$D$11+Responses!$E$11&gt;=6),AND(Responses!$AM$11=1,Responses!$C$11&gt;=7)),"Y","–")))</x:f>
        <x:v>#N/A</x:v>
      </x:c>
      <x:c r="AW10" s="4" t="str">
        <x:f>IF(Responses!$BE$11="","",IF(OR(Responses!$BE$11&lt;25,Responses!$BE$11&gt;150),"X",IF(AND(Responses!$BE$11&gt;=45,Responses!$BE$11&lt;=100),"Y","–")))</x:f>
      </x:c>
      <x:c r="AX10" s="4" t="e">
        <x:f>IF(OR(AR10="",IF($B$10="X",AB10,L10)=""),"",ABS(AR10-IF($B$10="X",AB10,L10)))</x:f>
        <x:v>#N/A</x:v>
      </x:c>
      <x:c r="AY10" s="4" t="e">
        <x:f>IF(AX10="","",IF(AX10&gt;0.25,"X",IF(AX10=0,"Y","–")))</x:f>
        <x:v>#N/A</x:v>
      </x:c>
      <x:c r="AZ10" s="4" t="n">
        <x:f>(Responses!$AP$11=INDEX(VignetteKeys!$B$2:$B$3,MATCH($B$10,VignetteKeys!$A$2:$A$3,0)))*1+(Responses!$AQ$11=INDEX(VignetteKeys!$C$2:$C$3,MATCH($B$10,VignetteKeys!$A$2:$A$3,0)))*1+(Responses!$AR$11=INDEX(VignetteKeys!$D$2:$D$3,MATCH($B$10,VignetteKeys!$A$2:$A$3,0)))*1+(Responses!$AS$11=INDEX(VignetteKeys!$E$2:$E$3,MATCH($B$10,VignetteKeys!$A$2:$A$3,0)))*1</x:f>
        <x:v>4</x:v>
      </x:c>
      <x:c r="BA10" s="4" t="str">
        <x:f>IF(Responses!$AP$11="","",IF(OR(AND(Responses!$AP$11&lt;&gt;INDEX(VignetteKeys!$B$2:$B$3,MATCH($B$10,VignetteKeys!$A$2:$A$3,0)),Responses!$AQ$11&lt;&gt;INDEX(VignetteKeys!$C$2:$C$3,MATCH($B$10,VignetteKeys!$A$2:$A$3,0))),AND(Responses!$AR$11&lt;&gt;INDEX(VignetteKeys!$D$2:$D$3,MATCH($B$10,VignetteKeys!$A$2:$A$3,0)),Responses!$AS$11&lt;&gt;INDEX(VignetteKeys!$E$2:$E$3,MATCH($B$10,VignetteKeys!$A$2:$A$3,0)))),"X",IF(AZ10=4,"Y","–")))</x:f>
        <x:v>Y</x:v>
      </x:c>
      <x:c r="BB10" s="4" t="str">
        <x:f>IF(Responses!$AT$11="","",IF(Responses!$AT$11&lt;&gt;4,"X","Y"))</x:f>
        <x:v>Y</x:v>
      </x:c>
      <x:c r="BC10" s="4" t="n">
        <x:f>IF(COUNT(Responses!$AU$11:$BD$11)&lt;10,"",((Responses!$AU$11-1)+(Responses!$AW$11-1)+(Responses!$AY$11-1)+(Responses!$BA$11-1)+(Responses!$BC$11-1)+(5-Responses!$AV$11)+(5-Responses!$AX$11)+(5-Responses!$AZ$11)+(5-Responses!$BB$11)+(5-Responses!$BD$11))*2.5)</x:f>
        <x:v>80</x:v>
      </x:c>
      <x:c r="BD10" s="4" t="str">
        <x:f>IF(BC10="","",IF(BC10&lt;50,"X",IF(BC10&gt;=68,"Y","–")))</x:f>
        <x:v>Y</x:v>
      </x:c>
      <x:c r="BE10" s="4" t="e">
        <x:f>IF((IF(AND(I10&lt;&gt;"A",ISNUMBER(Responses!$Q$11)),1,0)+IF(AND(Q10&lt;&gt;"A",ISNUMBER(Responses!$W$11)),1,0)+IF(AND(Y10&lt;&gt;"A",ISNUMBER(Responses!$AC$11)),1,0)+IF(AND(AG10&lt;&gt;"A",ISNUMBER(Responses!$AI$11)),1,0)+IF(AND(AO10&lt;&gt;"A",ISNUMBER(Responses!$AO$11)),1,0))=0,"",ROUND((IF(AND(I10&lt;&gt;"A",ISNUMBER(Responses!$Q$11)),Responses!$Q$11,0)+IF(AND(Q10&lt;&gt;"A",ISNUMBER(Responses!$W$11)),Responses!$W$11,0)+IF(AND(Y10&lt;&gt;"A",ISNUMBER(Responses!$AC$11)),Responses!$AC$11,0)+IF(AND(AG10&lt;&gt;"A",ISNUMBER(Responses!$AI$11)),Responses!$AI$11,0)+IF(AND(AO10&lt;&gt;"A",ISNUMBER(Responses!$AO$11)),Responses!$AO$11,0))/(IF(AND(I10&lt;&gt;"A",ISNUMBER(Responses!$Q$11)),1,0)+IF(AND(Q10&lt;&gt;"A",ISNUMBER(Responses!$W$11)),1,0)+IF(AND(Y10&lt;&gt;"A",ISNUMBER(Responses!$AC$11)),1,0)+IF(AND(AG10&lt;&gt;"A",ISNUMBER(Responses!$AI$11)),1,0)+IF(AND(AO10&lt;&gt;"A",ISNUMBER(Responses!$AO$11)),1,0)),2))</x:f>
        <x:v>#N/A</x:v>
      </x:c>
      <x:c r="BF10" s="4" t="e">
        <x:f>IF((IF(AND(I10="A",ISNUMBER(Responses!$Q$11)),1,0)+IF(AND(Q10="A",ISNUMBER(Responses!$W$11)),1,0)+IF(AND(Y10="A",ISNUMBER(Responses!$AC$11)),1,0)+IF(AND(AG10="A",ISNUMBER(Responses!$AI$11)),1,0)+IF(AND(AO10="A",ISNUMBER(Responses!$AO$11)),1,0))=0,"",ROUND((IF(AND(I10="A",ISNUMBER(Responses!$Q$11)),Responses!$Q$11,0)+IF(AND(Q10="A",ISNUMBER(Responses!$W$11)),Responses!$W$11,0)+IF(AND(Y10="A",ISNUMBER(Responses!$AC$11)),Responses!$AC$11,0)+IF(AND(AG10="A",ISNUMBER(Responses!$AI$11)),Responses!$AI$11,0)+IF(AND(AO10="A",ISNUMBER(Responses!$AO$11)),Responses!$AO$11,0))/(IF(AND(I10="A",ISNUMBER(Responses!$Q$11)),1,0)+IF(AND(Q10="A",ISNUMBER(Responses!$W$11)),1,0)+IF(AND(Y10="A",ISNUMBER(Responses!$AC$11)),1,0)+IF(AND(AG10="A",ISNUMBER(Responses!$AI$11)),1,0)+IF(AND(AO10="A",ISNUMBER(Responses!$AO$11)),1,0)),2))</x:f>
        <x:v>#N/A</x:v>
      </x:c>
      <x:c r="BG10" s="4" t="e">
        <x:f>IF(OR(BE10="",BF10=""),"",IF(BF10-BE10&gt;=3,"X",IF(BE10&gt;=BF10,"Y","–")))</x:f>
        <x:v>#N/A</x:v>
      </x:c>
      <x:c r="BH10" s="4" t="e">
        <x:f>(D10="X")*1+(F10="X")*1+(H10="X")*1+(K10="X")*1+(N10="X")*1+(O10="X")*1+(P10="X")*1+(S10="X")*1+(V10="X")*1+(W10="X")*1+(X10="X")*1+(AA10="X")*1+(AD10="X")*1+(AE10="X")*1+(AF10="X")*1+(AI10="X")*1+(AL10="X")*1+(AM10="X")*1+(AN10="X")*1+(AQ10="X")*1+(AT10="X")*1+(AU10="X")*1+(AV10="X")*1+(AW10="X")*1+(AY10="X")*1+(BA10="X")*1+(BB10="X")*1+(BD10="X")*1+(BG10="X")*1</x:f>
        <x:v>#N/A</x:v>
      </x:c>
    </x:row>
    <x:row r="11">
      <x:c r="A11" s="4" t="str">
        <x:f>Responses!$A$12</x:f>
        <x:v>P10</x:v>
      </x:c>
      <x:c r="B11" s="4" t="str">
        <x:f>Responses!$B$12</x:f>
        <x:v>Y</x:v>
      </x:c>
      <x:c r="C11" s="4" t="n">
        <x:f>SUM(Responses!$C$12,Responses!$D$12,Responses!$E$12)</x:f>
        <x:v>10</x:v>
      </x:c>
      <x:c r="D11" s="4" t="str">
        <x:f>IF(C11=0,"",IF(C11&lt;&gt;10,"X","Y"))</x:f>
        <x:v>Y</x:v>
      </x:c>
      <x:c r="E11" s="4" t="n">
        <x:f>IF(OR(Responses!$F$12="",Responses!$F$12&gt;6),"",MAX(ABS(Responses!$C$12-INDEX(Profiles!$C$2:$C$7,Responses!$F$12)),ABS(Responses!$D$12-INDEX(Profiles!$D$2:$D$7,Responses!$F$12)),ABS(Responses!$E$12-INDEX(Profiles!$E$2:$E$7,Responses!$F$12))))</x:f>
        <x:v>2.5</x:v>
      </x:c>
      <x:c r="F11" s="4" t="str">
        <x:f>IF(E11="","",IF(E11&gt;=4,"X",IF(E11&lt;=2,"Y","–")))</x:f>
        <x:v>–</x:v>
      </x:c>
      <x:c r="G11" s="4" t="n">
        <x:f>(Responses!$G$12=2)*1+(Responses!$H$12=1)*1+(Responses!$I$12=2)*1+(Responses!$J$12=2)*1+(Responses!$K$12=2)*1</x:f>
        <x:v>5</x:v>
      </x:c>
      <x:c r="H11" s="4" t="str">
        <x:f>IF(Responses!$G$12="","",IF(G11&lt;=3,"X",IF(G11=5,"Y","–")))</x:f>
        <x:v>Y</x:v>
      </x:c>
      <x:c r="I11" s="4" t="e">
        <x:f>INDEX(Sequence!$D$2:$D$11,MATCH(1,INDEX((Sequence!$A$2:$A$11=$B$11)*(Sequence!$B$2:$B$11=1),0),0))</x:f>
        <x:v>#N/A</x:v>
      </x:c>
      <x:c r="J11" s="4" t="n">
        <x:f>(Responses!$L$12=SUMIFS(Sequence!$E:$E,Sequence!$A:$A,$B$11,Sequence!$B:$B,1))*1+(Responses!$M$12=SUMIFS(Sequence!$F:$F,Sequence!$A:$A,$B$11,Sequence!$B:$B,1))*1+(Responses!$N$12=SUMIFS(Sequence!$G:$G,Sequence!$A:$A,$B$11,Sequence!$B:$B,1))*1</x:f>
        <x:v>3</x:v>
      </x:c>
      <x:c r="K11" s="4" t="str">
        <x:f>IF(Responses!$L$12="","",IF(J11&lt;=1,"X",IF(J11=3,"Y","–")))</x:f>
        <x:v>Y</x:v>
      </x:c>
      <x:c r="L11" s="4" t="e">
        <x:f>IF(OR(I11="A",Responses!$O$12=""),"",ROUND(_xlfn.MAXIFS(Data!$S$2:$S$26,Data!$B$2:$B$26,SUMIFS(Sequence!$C:$C,Sequence!$A:$A,$B$11,Sequence!$B:$B,1),Data!$H$2:$H$26,1)-SUMIFS(Data!$S$2:$S$26,Data!$A$2:$A$26,SUMIFS(Sequence!$C:$C,Sequence!$A:$A,$B$11,Sequence!$B:$B,1)&amp;"|"&amp;IF(I11="R",INDEX(Repetition!$D$2:$D$20,MATCH($B$11&amp;"|"&amp;Responses!$O$12,Repetition!$A$2:$A$20,0)),Responses!$O$12)),3))</x:f>
        <x:v>#N/A</x:v>
      </x:c>
      <x:c r="M11" s="4" t="e">
        <x:f>IF(I11="A","",ROUND(_xlfn.MAXIFS(Data!$S$2:$S$26,Data!$B$2:$B$26,SUMIFS(Sequence!$C:$C,Sequence!$A:$A,$B$11,Sequence!$B:$B,1),Data!$H$2:$H$26,1)-SUMIFS(Data!$S$2:$S$26,Data!$A$2:$A$26,SUMIFS(Sequence!$C:$C,Sequence!$A:$A,$B$11,Sequence!$B:$B,1)&amp;"|"&amp;"N"),3))</x:f>
        <x:v>#N/A</x:v>
      </x:c>
      <x:c r="N11" s="4" t="e">
        <x:f>IF(L11="","",IF(OR(L11&gt;=0.5,AND(M11&gt;0.1,L11&gt;=M11)),"X",IF(L11&lt;=0.1,"Y","–")))</x:f>
        <x:v>#N/A</x:v>
      </x:c>
      <x:c r="O11" s="4" t="e">
        <x:f>IF(OR(I11="A",Responses!$P$12="",Responses!$P$12=0),"",IF(_xlfn.MAXIFS(Data!$S$2:$S$26,Data!$B$2:$B$26,SUMIFS(Sequence!$C:$C,Sequence!$A:$A,$B$11,Sequence!$B:$B,1),Data!$I$2:$I$26,1)-SUMIFS(Data!$S$2:$S$26,Data!$A$2:$A$26,SUMIFS(Sequence!$C:$C,Sequence!$A:$A,$B$11,Sequence!$B:$B,1)&amp;"|"&amp;INDEX(Selector!$D$2:$D$37,MATCH(SUMIFS(Sequence!$C:$C,Sequence!$A:$A,$B$11,Sequence!$B:$B,1)*100+ROUND(Responses!$P$12*10,0),Selector!$A$2:$A$37,0)))&gt;=0.3,"X",IF(_xlfn.MAXIFS(Data!$S$2:$S$26,Data!$B$2:$B$26,SUMIFS(Sequence!$C:$C,Sequence!$A:$A,$B$11,Sequence!$B:$B,1),Data!$I$2:$I$26,1)-SUMIFS(Data!$S$2:$S$26,Data!$A$2:$A$26,SUMIFS(Sequence!$C:$C,Sequence!$A:$A,$B$11,Sequence!$B:$B,1)&amp;"|"&amp;INDEX(Selector!$D$2:$D$37,MATCH(SUMIFS(Sequence!$C:$C,Sequence!$A:$A,$B$11,Sequence!$B:$B,1)*100+ROUND(Responses!$P$12*10,0),Selector!$A$2:$A$37,0)))&lt;=0.05,"Y","–")))</x:f>
        <x:v>#N/A</x:v>
      </x:c>
      <x:c r="P11" s="4" t="e">
        <x:f>IF(OR(I11&lt;&gt;"A",Responses!$O$12=""),"",IF(AND(Responses!$O$12=1,Responses!$Q$12&gt;=6,Responses!$D$12+Responses!$E$12&gt;=6),"X",IF(OR(AND(Responses!$O$12&gt;=2,Responses!$D$12+Responses!$E$12&gt;=6),AND(Responses!$O$12=1,Responses!$C$12&gt;=7)),"Y","–")))</x:f>
        <x:v>#N/A</x:v>
      </x:c>
      <x:c r="Q11" s="4" t="e">
        <x:f>INDEX(Sequence!$D$2:$D$11,MATCH(1,INDEX((Sequence!$A$2:$A$11=$B$11)*(Sequence!$B$2:$B$11=2),0),0))</x:f>
        <x:v>#N/A</x:v>
      </x:c>
      <x:c r="R11" s="4" t="n">
        <x:f>(Responses!$R$12=SUMIFS(Sequence!$E:$E,Sequence!$A:$A,$B$11,Sequence!$B:$B,2))*1+(Responses!$S$12=SUMIFS(Sequence!$F:$F,Sequence!$A:$A,$B$11,Sequence!$B:$B,2))*1+(Responses!$T$12=SUMIFS(Sequence!$G:$G,Sequence!$A:$A,$B$11,Sequence!$B:$B,2))*1</x:f>
        <x:v>3</x:v>
      </x:c>
      <x:c r="S11" s="4" t="str">
        <x:f>IF(Responses!$R$12="","",IF(R11&lt;=1,"X",IF(R11=3,"Y","–")))</x:f>
        <x:v>Y</x:v>
      </x:c>
      <x:c r="T11" s="4" t="e">
        <x:f>IF(OR(Q11="A",Responses!$U$12=""),"",ROUND(_xlfn.MAXIFS(Data!$S$2:$S$26,Data!$B$2:$B$26,SUMIFS(Sequence!$C:$C,Sequence!$A:$A,$B$11,Sequence!$B:$B,2),Data!$H$2:$H$26,1)-SUMIFS(Data!$S$2:$S$26,Data!$A$2:$A$26,SUMIFS(Sequence!$C:$C,Sequence!$A:$A,$B$11,Sequence!$B:$B,2)&amp;"|"&amp;IF(Q11="R",INDEX(Repetition!$D$2:$D$20,MATCH($B$11&amp;"|"&amp;Responses!$U$12,Repetition!$A$2:$A$20,0)),Responses!$U$12)),3))</x:f>
        <x:v>#N/A</x:v>
      </x:c>
      <x:c r="U11" s="4" t="e">
        <x:f>IF(Q11="A","",ROUND(_xlfn.MAXIFS(Data!$S$2:$S$26,Data!$B$2:$B$26,SUMIFS(Sequence!$C:$C,Sequence!$A:$A,$B$11,Sequence!$B:$B,2),Data!$H$2:$H$26,1)-SUMIFS(Data!$S$2:$S$26,Data!$A$2:$A$26,SUMIFS(Sequence!$C:$C,Sequence!$A:$A,$B$11,Sequence!$B:$B,2)&amp;"|"&amp;"N"),3))</x:f>
        <x:v>#N/A</x:v>
      </x:c>
      <x:c r="V11" s="4" t="e">
        <x:f>IF(T11="","",IF(OR(T11&gt;=0.5,AND(U11&gt;0.1,T11&gt;=U11)),"X",IF(T11&lt;=0.1,"Y","–")))</x:f>
        <x:v>#N/A</x:v>
      </x:c>
      <x:c r="W11" s="4" t="e">
        <x:f>IF(OR(Q11="A",Responses!$V$12="",Responses!$V$12=0),"",IF(_xlfn.MAXIFS(Data!$S$2:$S$26,Data!$B$2:$B$26,SUMIFS(Sequence!$C:$C,Sequence!$A:$A,$B$11,Sequence!$B:$B,2),Data!$I$2:$I$26,1)-SUMIFS(Data!$S$2:$S$26,Data!$A$2:$A$26,SUMIFS(Sequence!$C:$C,Sequence!$A:$A,$B$11,Sequence!$B:$B,2)&amp;"|"&amp;INDEX(Selector!$D$2:$D$37,MATCH(SUMIFS(Sequence!$C:$C,Sequence!$A:$A,$B$11,Sequence!$B:$B,2)*100+ROUND(Responses!$V$12*10,0),Selector!$A$2:$A$37,0)))&gt;=0.3,"X",IF(_xlfn.MAXIFS(Data!$S$2:$S$26,Data!$B$2:$B$26,SUMIFS(Sequence!$C:$C,Sequence!$A:$A,$B$11,Sequence!$B:$B,2),Data!$I$2:$I$26,1)-SUMIFS(Data!$S$2:$S$26,Data!$A$2:$A$26,SUMIFS(Sequence!$C:$C,Sequence!$A:$A,$B$11,Sequence!$B:$B,2)&amp;"|"&amp;INDEX(Selector!$D$2:$D$37,MATCH(SUMIFS(Sequence!$C:$C,Sequence!$A:$A,$B$11,Sequence!$B:$B,2)*100+ROUND(Responses!$V$12*10,0),Selector!$A$2:$A$37,0)))&lt;=0.05,"Y","–")))</x:f>
        <x:v>#N/A</x:v>
      </x:c>
      <x:c r="X11" s="4" t="e">
        <x:f>IF(OR(Q11&lt;&gt;"A",Responses!$U$12=""),"",IF(AND(Responses!$U$12=1,Responses!$W$12&gt;=6,Responses!$D$12+Responses!$E$12&gt;=6),"X",IF(OR(AND(Responses!$U$12&gt;=2,Responses!$D$12+Responses!$E$12&gt;=6),AND(Responses!$U$12=1,Responses!$C$12&gt;=7)),"Y","–")))</x:f>
        <x:v>#N/A</x:v>
      </x:c>
      <x:c r="Y11" s="4" t="e">
        <x:f>INDEX(Sequence!$D$2:$D$11,MATCH(1,INDEX((Sequence!$A$2:$A$11=$B$11)*(Sequence!$B$2:$B$11=3),0),0))</x:f>
        <x:v>#N/A</x:v>
      </x:c>
      <x:c r="Z11" s="4" t="n">
        <x:f>(Responses!$X$12=SUMIFS(Sequence!$E:$E,Sequence!$A:$A,$B$11,Sequence!$B:$B,3))*1+(Responses!$Y$12=SUMIFS(Sequence!$F:$F,Sequence!$A:$A,$B$11,Sequence!$B:$B,3))*1+(Responses!$Z$12=SUMIFS(Sequence!$G:$G,Sequence!$A:$A,$B$11,Sequence!$B:$B,3))*1</x:f>
        <x:v>3</x:v>
      </x:c>
      <x:c r="AA11" s="4" t="str">
        <x:f>IF(Responses!$X$12="","",IF(Z11&lt;=1,"X",IF(Z11=3,"Y","–")))</x:f>
        <x:v>Y</x:v>
      </x:c>
      <x:c r="AB11" s="4" t="e">
        <x:f>IF(OR(Y11="A",Responses!$AA$12=""),"",ROUND(_xlfn.MAXIFS(Data!$S$2:$S$26,Data!$B$2:$B$26,SUMIFS(Sequence!$C:$C,Sequence!$A:$A,$B$11,Sequence!$B:$B,3),Data!$H$2:$H$26,1)-SUMIFS(Data!$S$2:$S$26,Data!$A$2:$A$26,SUMIFS(Sequence!$C:$C,Sequence!$A:$A,$B$11,Sequence!$B:$B,3)&amp;"|"&amp;IF(Y11="R",INDEX(Repetition!$D$2:$D$20,MATCH($B$11&amp;"|"&amp;Responses!$AA$12,Repetition!$A$2:$A$20,0)),Responses!$AA$12)),3))</x:f>
        <x:v>#N/A</x:v>
      </x:c>
      <x:c r="AC11" s="4" t="e">
        <x:f>IF(Y11="A","",ROUND(_xlfn.MAXIFS(Data!$S$2:$S$26,Data!$B$2:$B$26,SUMIFS(Sequence!$C:$C,Sequence!$A:$A,$B$11,Sequence!$B:$B,3),Data!$H$2:$H$26,1)-SUMIFS(Data!$S$2:$S$26,Data!$A$2:$A$26,SUMIFS(Sequence!$C:$C,Sequence!$A:$A,$B$11,Sequence!$B:$B,3)&amp;"|"&amp;"N"),3))</x:f>
        <x:v>#N/A</x:v>
      </x:c>
      <x:c r="AD11" s="4" t="e">
        <x:f>IF(AB11="","",IF(OR(AB11&gt;=0.5,AND(AC11&gt;0.1,AB11&gt;=AC11)),"X",IF(AB11&lt;=0.1,"Y","–")))</x:f>
        <x:v>#N/A</x:v>
      </x:c>
      <x:c r="AE11" s="4" t="e">
        <x:f>IF(OR(Y11="A",Responses!$AB$12="",Responses!$AB$12=0),"",IF(_xlfn.MAXIFS(Data!$S$2:$S$26,Data!$B$2:$B$26,SUMIFS(Sequence!$C:$C,Sequence!$A:$A,$B$11,Sequence!$B:$B,3),Data!$I$2:$I$26,1)-SUMIFS(Data!$S$2:$S$26,Data!$A$2:$A$26,SUMIFS(Sequence!$C:$C,Sequence!$A:$A,$B$11,Sequence!$B:$B,3)&amp;"|"&amp;INDEX(Selector!$D$2:$D$37,MATCH(SUMIFS(Sequence!$C:$C,Sequence!$A:$A,$B$11,Sequence!$B:$B,3)*100+ROUND(Responses!$AB$12*10,0),Selector!$A$2:$A$37,0)))&gt;=0.3,"X",IF(_xlfn.MAXIFS(Data!$S$2:$S$26,Data!$B$2:$B$26,SUMIFS(Sequence!$C:$C,Sequence!$A:$A,$B$11,Sequence!$B:$B,3),Data!$I$2:$I$26,1)-SUMIFS(Data!$S$2:$S$26,Data!$A$2:$A$26,SUMIFS(Sequence!$C:$C,Sequence!$A:$A,$B$11,Sequence!$B:$B,3)&amp;"|"&amp;INDEX(Selector!$D$2:$D$37,MATCH(SUMIFS(Sequence!$C:$C,Sequence!$A:$A,$B$11,Sequence!$B:$B,3)*100+ROUND(Responses!$AB$12*10,0),Selector!$A$2:$A$37,0)))&lt;=0.05,"Y","–")))</x:f>
        <x:v>#N/A</x:v>
      </x:c>
      <x:c r="AF11" s="4" t="e">
        <x:f>IF(OR(Y11&lt;&gt;"A",Responses!$AA$12=""),"",IF(AND(Responses!$AA$12=1,Responses!$AC$12&gt;=6,Responses!$D$12+Responses!$E$12&gt;=6),"X",IF(OR(AND(Responses!$AA$12&gt;=2,Responses!$D$12+Responses!$E$12&gt;=6),AND(Responses!$AA$12=1,Responses!$C$12&gt;=7)),"Y","–")))</x:f>
        <x:v>#N/A</x:v>
      </x:c>
      <x:c r="AG11" s="4" t="e">
        <x:f>INDEX(Sequence!$D$2:$D$11,MATCH(1,INDEX((Sequence!$A$2:$A$11=$B$11)*(Sequence!$B$2:$B$11=4),0),0))</x:f>
        <x:v>#N/A</x:v>
      </x:c>
      <x:c r="AH11" s="4" t="n">
        <x:f>(Responses!$AD$12=SUMIFS(Sequence!$E:$E,Sequence!$A:$A,$B$11,Sequence!$B:$B,4))*1+(Responses!$AE$12=SUMIFS(Sequence!$F:$F,Sequence!$A:$A,$B$11,Sequence!$B:$B,4))*1+(Responses!$AF$12=SUMIFS(Sequence!$G:$G,Sequence!$A:$A,$B$11,Sequence!$B:$B,4))*1</x:f>
        <x:v>3</x:v>
      </x:c>
      <x:c r="AI11" s="4" t="str">
        <x:f>IF(Responses!$AD$12="","",IF(AH11&lt;=1,"X",IF(AH11=3,"Y","–")))</x:f>
        <x:v>Y</x:v>
      </x:c>
      <x:c r="AJ11" s="4" t="e">
        <x:f>IF(OR(AG11="A",Responses!$AG$12=""),"",ROUND(_xlfn.MAXIFS(Data!$S$2:$S$26,Data!$B$2:$B$26,SUMIFS(Sequence!$C:$C,Sequence!$A:$A,$B$11,Sequence!$B:$B,4),Data!$H$2:$H$26,1)-SUMIFS(Data!$S$2:$S$26,Data!$A$2:$A$26,SUMIFS(Sequence!$C:$C,Sequence!$A:$A,$B$11,Sequence!$B:$B,4)&amp;"|"&amp;IF(AG11="R",INDEX(Repetition!$D$2:$D$20,MATCH($B$11&amp;"|"&amp;Responses!$AG$12,Repetition!$A$2:$A$20,0)),Responses!$AG$12)),3))</x:f>
        <x:v>#N/A</x:v>
      </x:c>
      <x:c r="AK11" s="4" t="e">
        <x:f>IF(AG11="A","",ROUND(_xlfn.MAXIFS(Data!$S$2:$S$26,Data!$B$2:$B$26,SUMIFS(Sequence!$C:$C,Sequence!$A:$A,$B$11,Sequence!$B:$B,4),Data!$H$2:$H$26,1)-SUMIFS(Data!$S$2:$S$26,Data!$A$2:$A$26,SUMIFS(Sequence!$C:$C,Sequence!$A:$A,$B$11,Sequence!$B:$B,4)&amp;"|"&amp;"N"),3))</x:f>
        <x:v>#N/A</x:v>
      </x:c>
      <x:c r="AL11" s="4" t="e">
        <x:f>IF(AJ11="","",IF(OR(AJ11&gt;=0.5,AND(AK11&gt;0.1,AJ11&gt;=AK11)),"X",IF(AJ11&lt;=0.1,"Y","–")))</x:f>
        <x:v>#N/A</x:v>
      </x:c>
      <x:c r="AM11" s="4" t="e">
        <x:f>IF(OR(AG11="A",Responses!$AH$12="",Responses!$AH$12=0),"",IF(_xlfn.MAXIFS(Data!$S$2:$S$26,Data!$B$2:$B$26,SUMIFS(Sequence!$C:$C,Sequence!$A:$A,$B$11,Sequence!$B:$B,4),Data!$I$2:$I$26,1)-SUMIFS(Data!$S$2:$S$26,Data!$A$2:$A$26,SUMIFS(Sequence!$C:$C,Sequence!$A:$A,$B$11,Sequence!$B:$B,4)&amp;"|"&amp;INDEX(Selector!$D$2:$D$37,MATCH(SUMIFS(Sequence!$C:$C,Sequence!$A:$A,$B$11,Sequence!$B:$B,4)*100+ROUND(Responses!$AH$12*10,0),Selector!$A$2:$A$37,0)))&gt;=0.3,"X",IF(_xlfn.MAXIFS(Data!$S$2:$S$26,Data!$B$2:$B$26,SUMIFS(Sequence!$C:$C,Sequence!$A:$A,$B$11,Sequence!$B:$B,4),Data!$I$2:$I$26,1)-SUMIFS(Data!$S$2:$S$26,Data!$A$2:$A$26,SUMIFS(Sequence!$C:$C,Sequence!$A:$A,$B$11,Sequence!$B:$B,4)&amp;"|"&amp;INDEX(Selector!$D$2:$D$37,MATCH(SUMIFS(Sequence!$C:$C,Sequence!$A:$A,$B$11,Sequence!$B:$B,4)*100+ROUND(Responses!$AH$12*10,0),Selector!$A$2:$A$37,0)))&lt;=0.05,"Y","–")))</x:f>
        <x:v>#N/A</x:v>
      </x:c>
      <x:c r="AN11" s="4" t="e">
        <x:f>IF(OR(AG11&lt;&gt;"A",Responses!$AG$12=""),"",IF(AND(Responses!$AG$12=1,Responses!$AI$12&gt;=6,Responses!$D$12+Responses!$E$12&gt;=6),"X",IF(OR(AND(Responses!$AG$12&gt;=2,Responses!$D$12+Responses!$E$12&gt;=6),AND(Responses!$AG$12=1,Responses!$C$12&gt;=7)),"Y","–")))</x:f>
        <x:v>#N/A</x:v>
      </x:c>
      <x:c r="AO11" s="4" t="e">
        <x:f>INDEX(Sequence!$D$2:$D$11,MATCH(1,INDEX((Sequence!$A$2:$A$11=$B$11)*(Sequence!$B$2:$B$11=5),0),0))</x:f>
        <x:v>#N/A</x:v>
      </x:c>
      <x:c r="AP11" s="4" t="n">
        <x:f>(Responses!$AJ$12=SUMIFS(Sequence!$E:$E,Sequence!$A:$A,$B$11,Sequence!$B:$B,5))*1+(Responses!$AK$12=SUMIFS(Sequence!$F:$F,Sequence!$A:$A,$B$11,Sequence!$B:$B,5))*1+(Responses!$AL$12=SUMIFS(Sequence!$G:$G,Sequence!$A:$A,$B$11,Sequence!$B:$B,5))*1</x:f>
        <x:v>3</x:v>
      </x:c>
      <x:c r="AQ11" s="4" t="str">
        <x:f>IF(Responses!$AJ$12="","",IF(AP11&lt;=1,"X",IF(AP11=3,"Y","–")))</x:f>
        <x:v>Y</x:v>
      </x:c>
      <x:c r="AR11" s="4" t="e">
        <x:f>IF(OR(AO11="A",Responses!$AM$12=""),"",ROUND(_xlfn.MAXIFS(Data!$S$2:$S$26,Data!$B$2:$B$26,SUMIFS(Sequence!$C:$C,Sequence!$A:$A,$B$11,Sequence!$B:$B,5),Data!$H$2:$H$26,1)-SUMIFS(Data!$S$2:$S$26,Data!$A$2:$A$26,SUMIFS(Sequence!$C:$C,Sequence!$A:$A,$B$11,Sequence!$B:$B,5)&amp;"|"&amp;IF(AO11="R",INDEX(Repetition!$D$2:$D$20,MATCH($B$11&amp;"|"&amp;Responses!$AM$12,Repetition!$A$2:$A$20,0)),Responses!$AM$12)),3))</x:f>
        <x:v>#N/A</x:v>
      </x:c>
      <x:c r="AS11" s="4" t="e">
        <x:f>IF(AO11="A","",ROUND(_xlfn.MAXIFS(Data!$S$2:$S$26,Data!$B$2:$B$26,SUMIFS(Sequence!$C:$C,Sequence!$A:$A,$B$11,Sequence!$B:$B,5),Data!$H$2:$H$26,1)-SUMIFS(Data!$S$2:$S$26,Data!$A$2:$A$26,SUMIFS(Sequence!$C:$C,Sequence!$A:$A,$B$11,Sequence!$B:$B,5)&amp;"|"&amp;"N"),3))</x:f>
        <x:v>#N/A</x:v>
      </x:c>
      <x:c r="AT11" s="4" t="e">
        <x:f>IF(AR11="","",IF(OR(AR11&gt;=0.5,AND(AS11&gt;0.1,AR11&gt;=AS11)),"X",IF(AR11&lt;=0.1,"Y","–")))</x:f>
        <x:v>#N/A</x:v>
      </x:c>
      <x:c r="AU11" s="4" t="e">
        <x:f>IF(OR(AO11="A",Responses!$AN$12="",Responses!$AN$12=0),"",IF(_xlfn.MAXIFS(Data!$S$2:$S$26,Data!$B$2:$B$26,SUMIFS(Sequence!$C:$C,Sequence!$A:$A,$B$11,Sequence!$B:$B,5),Data!$I$2:$I$26,1)-SUMIFS(Data!$S$2:$S$26,Data!$A$2:$A$26,SUMIFS(Sequence!$C:$C,Sequence!$A:$A,$B$11,Sequence!$B:$B,5)&amp;"|"&amp;INDEX(Selector!$D$2:$D$37,MATCH(SUMIFS(Sequence!$C:$C,Sequence!$A:$A,$B$11,Sequence!$B:$B,5)*100+ROUND(Responses!$AN$12*10,0),Selector!$A$2:$A$37,0)))&gt;=0.3,"X",IF(_xlfn.MAXIFS(Data!$S$2:$S$26,Data!$B$2:$B$26,SUMIFS(Sequence!$C:$C,Sequence!$A:$A,$B$11,Sequence!$B:$B,5),Data!$I$2:$I$26,1)-SUMIFS(Data!$S$2:$S$26,Data!$A$2:$A$26,SUMIFS(Sequence!$C:$C,Sequence!$A:$A,$B$11,Sequence!$B:$B,5)&amp;"|"&amp;INDEX(Selector!$D$2:$D$37,MATCH(SUMIFS(Sequence!$C:$C,Sequence!$A:$A,$B$11,Sequence!$B:$B,5)*100+ROUND(Responses!$AN$12*10,0),Selector!$A$2:$A$37,0)))&lt;=0.05,"Y","–")))</x:f>
        <x:v>#N/A</x:v>
      </x:c>
      <x:c r="AV11" s="4" t="e">
        <x:f>IF(OR(AO11&lt;&gt;"A",Responses!$AM$12=""),"",IF(AND(Responses!$AM$12=1,Responses!$AO$12&gt;=6,Responses!$D$12+Responses!$E$12&gt;=6),"X",IF(OR(AND(Responses!$AM$12&gt;=2,Responses!$D$12+Responses!$E$12&gt;=6),AND(Responses!$AM$12=1,Responses!$C$12&gt;=7)),"Y","–")))</x:f>
        <x:v>#N/A</x:v>
      </x:c>
      <x:c r="AW11" s="4" t="str">
        <x:f>IF(Responses!$BE$12="","",IF(OR(Responses!$BE$12&lt;25,Responses!$BE$12&gt;150),"X",IF(AND(Responses!$BE$12&gt;=45,Responses!$BE$12&lt;=100),"Y","–")))</x:f>
      </x:c>
      <x:c r="AX11" s="4" t="e">
        <x:f>IF(OR(AR11="",IF($B$11="X",AB11,L11)=""),"",ABS(AR11-IF($B$11="X",AB11,L11)))</x:f>
        <x:v>#N/A</x:v>
      </x:c>
      <x:c r="AY11" s="4" t="e">
        <x:f>IF(AX11="","",IF(AX11&gt;0.25,"X",IF(AX11=0,"Y","–")))</x:f>
        <x:v>#N/A</x:v>
      </x:c>
      <x:c r="AZ11" s="4" t="n">
        <x:f>(Responses!$AP$12=INDEX(VignetteKeys!$B$2:$B$3,MATCH($B$11,VignetteKeys!$A$2:$A$3,0)))*1+(Responses!$AQ$12=INDEX(VignetteKeys!$C$2:$C$3,MATCH($B$11,VignetteKeys!$A$2:$A$3,0)))*1+(Responses!$AR$12=INDEX(VignetteKeys!$D$2:$D$3,MATCH($B$11,VignetteKeys!$A$2:$A$3,0)))*1+(Responses!$AS$12=INDEX(VignetteKeys!$E$2:$E$3,MATCH($B$11,VignetteKeys!$A$2:$A$3,0)))*1</x:f>
        <x:v>4</x:v>
      </x:c>
      <x:c r="BA11" s="4" t="str">
        <x:f>IF(Responses!$AP$12="","",IF(OR(AND(Responses!$AP$12&lt;&gt;INDEX(VignetteKeys!$B$2:$B$3,MATCH($B$11,VignetteKeys!$A$2:$A$3,0)),Responses!$AQ$12&lt;&gt;INDEX(VignetteKeys!$C$2:$C$3,MATCH($B$11,VignetteKeys!$A$2:$A$3,0))),AND(Responses!$AR$12&lt;&gt;INDEX(VignetteKeys!$D$2:$D$3,MATCH($B$11,VignetteKeys!$A$2:$A$3,0)),Responses!$AS$12&lt;&gt;INDEX(VignetteKeys!$E$2:$E$3,MATCH($B$11,VignetteKeys!$A$2:$A$3,0)))),"X",IF(AZ11=4,"Y","–")))</x:f>
        <x:v>Y</x:v>
      </x:c>
      <x:c r="BB11" s="4" t="str">
        <x:f>IF(Responses!$AT$12="","",IF(Responses!$AT$12&lt;&gt;4,"X","Y"))</x:f>
        <x:v>Y</x:v>
      </x:c>
      <x:c r="BC11" s="4" t="n">
        <x:f>IF(COUNT(Responses!$AU$12:$BD$12)&lt;10,"",((Responses!$AU$12-1)+(Responses!$AW$12-1)+(Responses!$AY$12-1)+(Responses!$BA$12-1)+(Responses!$BC$12-1)+(5-Responses!$AV$12)+(5-Responses!$AX$12)+(5-Responses!$AZ$12)+(5-Responses!$BB$12)+(5-Responses!$BD$12))*2.5)</x:f>
        <x:v>80</x:v>
      </x:c>
      <x:c r="BD11" s="4" t="str">
        <x:f>IF(BC11="","",IF(BC11&lt;50,"X",IF(BC11&gt;=68,"Y","–")))</x:f>
        <x:v>Y</x:v>
      </x:c>
      <x:c r="BE11" s="4" t="e">
        <x:f>IF((IF(AND(I11&lt;&gt;"A",ISNUMBER(Responses!$Q$12)),1,0)+IF(AND(Q11&lt;&gt;"A",ISNUMBER(Responses!$W$12)),1,0)+IF(AND(Y11&lt;&gt;"A",ISNUMBER(Responses!$AC$12)),1,0)+IF(AND(AG11&lt;&gt;"A",ISNUMBER(Responses!$AI$12)),1,0)+IF(AND(AO11&lt;&gt;"A",ISNUMBER(Responses!$AO$12)),1,0))=0,"",ROUND((IF(AND(I11&lt;&gt;"A",ISNUMBER(Responses!$Q$12)),Responses!$Q$12,0)+IF(AND(Q11&lt;&gt;"A",ISNUMBER(Responses!$W$12)),Responses!$W$12,0)+IF(AND(Y11&lt;&gt;"A",ISNUMBER(Responses!$AC$12)),Responses!$AC$12,0)+IF(AND(AG11&lt;&gt;"A",ISNUMBER(Responses!$AI$12)),Responses!$AI$12,0)+IF(AND(AO11&lt;&gt;"A",ISNUMBER(Responses!$AO$12)),Responses!$AO$12,0))/(IF(AND(I11&lt;&gt;"A",ISNUMBER(Responses!$Q$12)),1,0)+IF(AND(Q11&lt;&gt;"A",ISNUMBER(Responses!$W$12)),1,0)+IF(AND(Y11&lt;&gt;"A",ISNUMBER(Responses!$AC$12)),1,0)+IF(AND(AG11&lt;&gt;"A",ISNUMBER(Responses!$AI$12)),1,0)+IF(AND(AO11&lt;&gt;"A",ISNUMBER(Responses!$AO$12)),1,0)),2))</x:f>
        <x:v>#N/A</x:v>
      </x:c>
      <x:c r="BF11" s="4" t="e">
        <x:f>IF((IF(AND(I11="A",ISNUMBER(Responses!$Q$12)),1,0)+IF(AND(Q11="A",ISNUMBER(Responses!$W$12)),1,0)+IF(AND(Y11="A",ISNUMBER(Responses!$AC$12)),1,0)+IF(AND(AG11="A",ISNUMBER(Responses!$AI$12)),1,0)+IF(AND(AO11="A",ISNUMBER(Responses!$AO$12)),1,0))=0,"",ROUND((IF(AND(I11="A",ISNUMBER(Responses!$Q$12)),Responses!$Q$12,0)+IF(AND(Q11="A",ISNUMBER(Responses!$W$12)),Responses!$W$12,0)+IF(AND(Y11="A",ISNUMBER(Responses!$AC$12)),Responses!$AC$12,0)+IF(AND(AG11="A",ISNUMBER(Responses!$AI$12)),Responses!$AI$12,0)+IF(AND(AO11="A",ISNUMBER(Responses!$AO$12)),Responses!$AO$12,0))/(IF(AND(I11="A",ISNUMBER(Responses!$Q$12)),1,0)+IF(AND(Q11="A",ISNUMBER(Responses!$W$12)),1,0)+IF(AND(Y11="A",ISNUMBER(Responses!$AC$12)),1,0)+IF(AND(AG11="A",ISNUMBER(Responses!$AI$12)),1,0)+IF(AND(AO11="A",ISNUMBER(Responses!$AO$12)),1,0)),2))</x:f>
        <x:v>#N/A</x:v>
      </x:c>
      <x:c r="BG11" s="4" t="e">
        <x:f>IF(OR(BE11="",BF11=""),"",IF(BF11-BE11&gt;=3,"X",IF(BE11&gt;=BF11,"Y","–")))</x:f>
        <x:v>#N/A</x:v>
      </x:c>
      <x:c r="BH11" s="4" t="e">
        <x:f>(D11="X")*1+(F11="X")*1+(H11="X")*1+(K11="X")*1+(N11="X")*1+(O11="X")*1+(P11="X")*1+(S11="X")*1+(V11="X")*1+(W11="X")*1+(X11="X")*1+(AA11="X")*1+(AD11="X")*1+(AE11="X")*1+(AF11="X")*1+(AI11="X")*1+(AL11="X")*1+(AM11="X")*1+(AN11="X")*1+(AQ11="X")*1+(AT11="X")*1+(AU11="X")*1+(AV11="X")*1+(AW11="X")*1+(AY11="X")*1+(BA11="X")*1+(BB11="X")*1+(BD11="X")*1+(BG11="X")*1</x:f>
        <x:v>#N/A</x:v>
      </x:c>
    </x:row>
  </x:sheetData>
  <x:conditionalFormatting sqref="C2:BH11">
    <x:cfRule type="expression" dxfId="0" priority="1">
      <x:formula>C2="X"</x:formula>
    </x:cfRule>
    <x:cfRule type="expression" dxfId="1" priority="2">
      <x:formula>C2="Y"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s="5" t="inlineStr">
        <x:is>
          <x:t xml:space="preserve">Code</x:t>
        </x:is>
      </x:c>
      <x:c r="B1" s="5" t="inlineStr">
        <x:is>
          <x:t xml:space="preserve">Tag</x:t>
        </x:is>
      </x:c>
      <x:c r="C1" s="5" t="inlineStr">
        <x:is>
          <x:t xml:space="preserve">Value</x:t>
        </x:is>
      </x:c>
    </x:row>
    <x:row r="2">
      <x:c r="A2" t="inlineStr">
        <x:is>
          <x:t xml:space="preserve">P01</x:t>
        </x:is>
      </x:c>
      <x:c r="B2" t="inlineStr">
        <x:is>
          <x:t xml:space="preserve">ADESIONE_1</x:t>
        </x:is>
      </x:c>
      <x:c r="C2" t="n">
        <x:v>1</x:v>
      </x:c>
    </x:row>
    <x:row r="3">
      <x:c r="A3" t="inlineStr">
        <x:is>
          <x:t xml:space="preserve">P01</x:t>
        </x:is>
      </x:c>
      <x:c r="B3" t="inlineStr">
        <x:is>
          <x:t xml:space="preserve">C1_D1_3</x:t>
        </x:is>
      </x:c>
      <x:c r="C3" t="n">
        <x:v>1</x:v>
      </x:c>
    </x:row>
    <x:row r="4">
      <x:c r="A4" t="inlineStr">
        <x:is>
          <x:t xml:space="preserve">P01</x:t>
        </x:is>
      </x:c>
      <x:c r="B4" t="inlineStr">
        <x:is>
          <x:t xml:space="preserve">C1_D2_2</x:t>
        </x:is>
      </x:c>
      <x:c r="C4" t="n">
        <x:v>1</x:v>
      </x:c>
    </x:row>
    <x:row r="5">
      <x:c r="A5" t="inlineStr">
        <x:is>
          <x:t xml:space="preserve">P01</x:t>
        </x:is>
      </x:c>
      <x:c r="B5" t="inlineStr">
        <x:is>
          <x:t xml:space="preserve">C1_D3_5</x:t>
        </x:is>
      </x:c>
      <x:c r="C5" t="n">
        <x:v>1</x:v>
      </x:c>
    </x:row>
    <x:row r="6">
      <x:c r="A6" t="inlineStr">
        <x:is>
          <x:t xml:space="preserve">P01</x:t>
        </x:is>
      </x:c>
      <x:c r="B6" t="inlineStr">
        <x:is>
          <x:t xml:space="preserve">C1_D4_9</x:t>
        </x:is>
      </x:c>
      <x:c r="C6" t="n">
        <x:v>1</x:v>
      </x:c>
    </x:row>
    <x:row r="7">
      <x:c r="A7" t="inlineStr">
        <x:is>
          <x:t xml:space="preserve">P01</x:t>
        </x:is>
      </x:c>
      <x:c r="B7" t="inlineStr">
        <x:is>
          <x:t xml:space="preserve">C1_D5_5</x:t>
        </x:is>
      </x:c>
      <x:c r="C7" t="n">
        <x:v>1</x:v>
      </x:c>
    </x:row>
    <x:row r="8">
      <x:c r="A8" t="inlineStr">
        <x:is>
          <x:t xml:space="preserve">P01</x:t>
        </x:is>
      </x:c>
      <x:c r="B8" t="inlineStr">
        <x:is>
          <x:t xml:space="preserve">C1_L1_2</x:t>
        </x:is>
      </x:c>
      <x:c r="C8" t="n">
        <x:v>1</x:v>
      </x:c>
    </x:row>
    <x:row r="9">
      <x:c r="A9" t="inlineStr">
        <x:is>
          <x:t xml:space="preserve">P01</x:t>
        </x:is>
      </x:c>
      <x:c r="B9" t="inlineStr">
        <x:is>
          <x:t xml:space="preserve">C1_L2_2</x:t>
        </x:is>
      </x:c>
      <x:c r="C9" t="n">
        <x:v>1</x:v>
      </x:c>
    </x:row>
    <x:row r="10">
      <x:c r="A10" t="inlineStr">
        <x:is>
          <x:t xml:space="preserve">P01</x:t>
        </x:is>
      </x:c>
      <x:c r="B10" t="inlineStr">
        <x:is>
          <x:t xml:space="preserve">C1_L3_1</x:t>
        </x:is>
      </x:c>
      <x:c r="C10" t="n">
        <x:v>1</x:v>
      </x:c>
    </x:row>
    <x:row r="11">
      <x:c r="A11" t="inlineStr">
        <x:is>
          <x:t xml:space="preserve">P01</x:t>
        </x:is>
      </x:c>
      <x:c r="B11" t="inlineStr">
        <x:is>
          <x:t xml:space="preserve">C2_D1_2</x:t>
        </x:is>
      </x:c>
      <x:c r="C11" t="n">
        <x:v>1</x:v>
      </x:c>
    </x:row>
    <x:row r="12">
      <x:c r="A12" t="inlineStr">
        <x:is>
          <x:t xml:space="preserve">P01</x:t>
        </x:is>
      </x:c>
      <x:c r="B12" t="inlineStr">
        <x:is>
          <x:t xml:space="preserve">C2_D2_3</x:t>
        </x:is>
      </x:c>
      <x:c r="C12" t="n">
        <x:v>1</x:v>
      </x:c>
    </x:row>
    <x:row r="13">
      <x:c r="A13" t="inlineStr">
        <x:is>
          <x:t xml:space="preserve">P01</x:t>
        </x:is>
      </x:c>
      <x:c r="B13" t="inlineStr">
        <x:is>
          <x:t xml:space="preserve">C2_D3_4</x:t>
        </x:is>
      </x:c>
      <x:c r="C13" t="n">
        <x:v>1</x:v>
      </x:c>
    </x:row>
    <x:row r="14">
      <x:c r="A14" t="inlineStr">
        <x:is>
          <x:t xml:space="preserve">P01</x:t>
        </x:is>
      </x:c>
      <x:c r="B14" t="inlineStr">
        <x:is>
          <x:t xml:space="preserve">C2_D4_9</x:t>
        </x:is>
      </x:c>
      <x:c r="C14" t="n">
        <x:v>1</x:v>
      </x:c>
    </x:row>
    <x:row r="15">
      <x:c r="A15" t="inlineStr">
        <x:is>
          <x:t xml:space="preserve">P01</x:t>
        </x:is>
      </x:c>
      <x:c r="B15" t="inlineStr">
        <x:is>
          <x:t xml:space="preserve">C2_D5_5</x:t>
        </x:is>
      </x:c>
      <x:c r="C15" t="n">
        <x:v>1</x:v>
      </x:c>
    </x:row>
    <x:row r="16">
      <x:c r="A16" t="inlineStr">
        <x:is>
          <x:t xml:space="preserve">P01</x:t>
        </x:is>
      </x:c>
      <x:c r="B16" t="inlineStr">
        <x:is>
          <x:t xml:space="preserve">C2_L1_2</x:t>
        </x:is>
      </x:c>
      <x:c r="C16" t="n">
        <x:v>1</x:v>
      </x:c>
    </x:row>
    <x:row r="17">
      <x:c r="A17" t="inlineStr">
        <x:is>
          <x:t xml:space="preserve">P01</x:t>
        </x:is>
      </x:c>
      <x:c r="B17" t="inlineStr">
        <x:is>
          <x:t xml:space="preserve">C2_L2_3</x:t>
        </x:is>
      </x:c>
      <x:c r="C17" t="n">
        <x:v>1</x:v>
      </x:c>
    </x:row>
    <x:row r="18">
      <x:c r="A18" t="inlineStr">
        <x:is>
          <x:t xml:space="preserve">P01</x:t>
        </x:is>
      </x:c>
      <x:c r="B18" t="inlineStr">
        <x:is>
          <x:t xml:space="preserve">C2_L3_4</x:t>
        </x:is>
      </x:c>
      <x:c r="C18" t="n">
        <x:v>1</x:v>
      </x:c>
    </x:row>
    <x:row r="19">
      <x:c r="A19" t="inlineStr">
        <x:is>
          <x:t xml:space="preserve">P01</x:t>
        </x:is>
      </x:c>
      <x:c r="B19" t="inlineStr">
        <x:is>
          <x:t xml:space="preserve">C3_D1_2</x:t>
        </x:is>
      </x:c>
      <x:c r="C19" t="n">
        <x:v>1</x:v>
      </x:c>
    </x:row>
    <x:row r="20">
      <x:c r="A20" t="inlineStr">
        <x:is>
          <x:t xml:space="preserve">P01</x:t>
        </x:is>
      </x:c>
      <x:c r="B20" t="inlineStr">
        <x:is>
          <x:t xml:space="preserve">C3_D2_5</x:t>
        </x:is>
      </x:c>
      <x:c r="C20" t="n">
        <x:v>1</x:v>
      </x:c>
    </x:row>
    <x:row r="21">
      <x:c r="A21" t="inlineStr">
        <x:is>
          <x:t xml:space="preserve">P01</x:t>
        </x:is>
      </x:c>
      <x:c r="B21" t="inlineStr">
        <x:is>
          <x:t xml:space="preserve">C3_D3_2</x:t>
        </x:is>
      </x:c>
      <x:c r="C21" t="n">
        <x:v>1</x:v>
      </x:c>
    </x:row>
    <x:row r="22">
      <x:c r="A22" t="inlineStr">
        <x:is>
          <x:t xml:space="preserve">P01</x:t>
        </x:is>
      </x:c>
      <x:c r="B22" t="inlineStr">
        <x:is>
          <x:t xml:space="preserve">C3_D3_7</x:t>
        </x:is>
      </x:c>
      <x:c r="C22" t="n">
        <x:v>1</x:v>
      </x:c>
    </x:row>
    <x:row r="23">
      <x:c r="A23" t="inlineStr">
        <x:is>
          <x:t xml:space="preserve">P01</x:t>
        </x:is>
      </x:c>
      <x:c r="B23" t="inlineStr">
        <x:is>
          <x:t xml:space="preserve">C3_D4_3</x:t>
        </x:is>
      </x:c>
      <x:c r="C23" t="n">
        <x:v>1</x:v>
      </x:c>
    </x:row>
    <x:row r="24">
      <x:c r="A24" t="inlineStr">
        <x:is>
          <x:t xml:space="preserve">P01</x:t>
        </x:is>
      </x:c>
      <x:c r="B24" t="inlineStr">
        <x:is>
          <x:t xml:space="preserve">C3_D5_6</x:t>
        </x:is>
      </x:c>
      <x:c r="C24" t="n">
        <x:v>1</x:v>
      </x:c>
    </x:row>
    <x:row r="25">
      <x:c r="A25" t="inlineStr">
        <x:is>
          <x:t xml:space="preserve">P01</x:t>
        </x:is>
      </x:c>
      <x:c r="B25" t="inlineStr">
        <x:is>
          <x:t xml:space="preserve">C3_L1_3</x:t>
        </x:is>
      </x:c>
      <x:c r="C25" t="n">
        <x:v>1</x:v>
      </x:c>
    </x:row>
    <x:row r="26">
      <x:c r="A26" t="inlineStr">
        <x:is>
          <x:t xml:space="preserve">P01</x:t>
        </x:is>
      </x:c>
      <x:c r="B26" t="inlineStr">
        <x:is>
          <x:t xml:space="preserve">C3_L2_2</x:t>
        </x:is>
      </x:c>
      <x:c r="C26" t="n">
        <x:v>1</x:v>
      </x:c>
    </x:row>
    <x:row r="27">
      <x:c r="A27" t="inlineStr">
        <x:is>
          <x:t xml:space="preserve">P01</x:t>
        </x:is>
      </x:c>
      <x:c r="B27" t="inlineStr">
        <x:is>
          <x:t xml:space="preserve">C3_L3_2</x:t>
        </x:is>
      </x:c>
      <x:c r="C27" t="n">
        <x:v>1</x:v>
      </x:c>
    </x:row>
    <x:row r="28">
      <x:c r="A28" t="inlineStr">
        <x:is>
          <x:t xml:space="preserve">P01</x:t>
        </x:is>
      </x:c>
      <x:c r="B28" t="inlineStr">
        <x:is>
          <x:t xml:space="preserve">C4_D1_4</x:t>
        </x:is>
      </x:c>
      <x:c r="C28" t="n">
        <x:v>1</x:v>
      </x:c>
    </x:row>
    <x:row r="29">
      <x:c r="A29" t="inlineStr">
        <x:is>
          <x:t xml:space="preserve">P01</x:t>
        </x:is>
      </x:c>
      <x:c r="B29" t="inlineStr">
        <x:is>
          <x:t xml:space="preserve">C4_D2_8</x:t>
        </x:is>
      </x:c>
      <x:c r="C29" t="n">
        <x:v>1</x:v>
      </x:c>
    </x:row>
    <x:row r="30">
      <x:c r="A30" t="inlineStr">
        <x:is>
          <x:t xml:space="preserve">P01</x:t>
        </x:is>
      </x:c>
      <x:c r="B30" t="inlineStr">
        <x:is>
          <x:t xml:space="preserve">C4_D3_5</x:t>
        </x:is>
      </x:c>
      <x:c r="C30" t="n">
        <x:v>1</x:v>
      </x:c>
    </x:row>
    <x:row r="31">
      <x:c r="A31" t="inlineStr">
        <x:is>
          <x:t xml:space="preserve">P01</x:t>
        </x:is>
      </x:c>
      <x:c r="B31" t="inlineStr">
        <x:is>
          <x:t xml:space="preserve">C4_D3_6</x:t>
        </x:is>
      </x:c>
      <x:c r="C31" t="n">
        <x:v>1</x:v>
      </x:c>
    </x:row>
    <x:row r="32">
      <x:c r="A32" t="inlineStr">
        <x:is>
          <x:t xml:space="preserve">P01</x:t>
        </x:is>
      </x:c>
      <x:c r="B32" t="inlineStr">
        <x:is>
          <x:t xml:space="preserve">C4_D4_3</x:t>
        </x:is>
      </x:c>
      <x:c r="C32" t="n">
        <x:v>1</x:v>
      </x:c>
    </x:row>
    <x:row r="33">
      <x:c r="A33" t="inlineStr">
        <x:is>
          <x:t xml:space="preserve">P01</x:t>
        </x:is>
      </x:c>
      <x:c r="B33" t="inlineStr">
        <x:is>
          <x:t xml:space="preserve">C4_D5_6</x:t>
        </x:is>
      </x:c>
      <x:c r="C33" t="n">
        <x:v>1</x:v>
      </x:c>
    </x:row>
    <x:row r="34">
      <x:c r="A34" t="inlineStr">
        <x:is>
          <x:t xml:space="preserve">P01</x:t>
        </x:is>
      </x:c>
      <x:c r="B34" t="inlineStr">
        <x:is>
          <x:t xml:space="preserve">C4_L1_4</x:t>
        </x:is>
      </x:c>
      <x:c r="C34" t="n">
        <x:v>1</x:v>
      </x:c>
    </x:row>
    <x:row r="35">
      <x:c r="A35" t="inlineStr">
        <x:is>
          <x:t xml:space="preserve">P01</x:t>
        </x:is>
      </x:c>
      <x:c r="B35" t="inlineStr">
        <x:is>
          <x:t xml:space="preserve">C4_L2_3</x:t>
        </x:is>
      </x:c>
      <x:c r="C35" t="n">
        <x:v>1</x:v>
      </x:c>
    </x:row>
    <x:row r="36">
      <x:c r="A36" t="inlineStr">
        <x:is>
          <x:t xml:space="preserve">P01</x:t>
        </x:is>
      </x:c>
      <x:c r="B36" t="inlineStr">
        <x:is>
          <x:t xml:space="preserve">C4_L3_2</x:t>
        </x:is>
      </x:c>
      <x:c r="C36" t="n">
        <x:v>1</x:v>
      </x:c>
    </x:row>
    <x:row r="37">
      <x:c r="A37" t="inlineStr">
        <x:is>
          <x:t xml:space="preserve">P01</x:t>
        </x:is>
      </x:c>
      <x:c r="B37" t="inlineStr">
        <x:is>
          <x:t xml:space="preserve">C5_D1_6</x:t>
        </x:is>
      </x:c>
      <x:c r="C37" t="n">
        <x:v>1</x:v>
      </x:c>
    </x:row>
    <x:row r="38">
      <x:c r="A38" t="inlineStr">
        <x:is>
          <x:t xml:space="preserve">P01</x:t>
        </x:is>
      </x:c>
      <x:c r="B38" t="inlineStr">
        <x:is>
          <x:t xml:space="preserve">C5_D2_7</x:t>
        </x:is>
      </x:c>
      <x:c r="C38" t="n">
        <x:v>1</x:v>
      </x:c>
    </x:row>
    <x:row r="39">
      <x:c r="A39" t="inlineStr">
        <x:is>
          <x:t xml:space="preserve">P01</x:t>
        </x:is>
      </x:c>
      <x:c r="B39" t="inlineStr">
        <x:is>
          <x:t xml:space="preserve">C5_D3_2</x:t>
        </x:is>
      </x:c>
      <x:c r="C39" t="n">
        <x:v>1</x:v>
      </x:c>
    </x:row>
    <x:row r="40">
      <x:c r="A40" t="inlineStr">
        <x:is>
          <x:t xml:space="preserve">P01</x:t>
        </x:is>
      </x:c>
      <x:c r="B40" t="inlineStr">
        <x:is>
          <x:t xml:space="preserve">C5_D3_4</x:t>
        </x:is>
      </x:c>
      <x:c r="C40" t="n">
        <x:v>1</x:v>
      </x:c>
    </x:row>
    <x:row r="41">
      <x:c r="A41" t="inlineStr">
        <x:is>
          <x:t xml:space="preserve">P01</x:t>
        </x:is>
      </x:c>
      <x:c r="B41" t="inlineStr">
        <x:is>
          <x:t xml:space="preserve">C5_D4_3</x:t>
        </x:is>
      </x:c>
      <x:c r="C41" t="n">
        <x:v>1</x:v>
      </x:c>
    </x:row>
    <x:row r="42">
      <x:c r="A42" t="inlineStr">
        <x:is>
          <x:t xml:space="preserve">P01</x:t>
        </x:is>
      </x:c>
      <x:c r="B42" t="inlineStr">
        <x:is>
          <x:t xml:space="preserve">C5_D5_6</x:t>
        </x:is>
      </x:c>
      <x:c r="C42" t="n">
        <x:v>1</x:v>
      </x:c>
    </x:row>
    <x:row r="43">
      <x:c r="A43" t="inlineStr">
        <x:is>
          <x:t xml:space="preserve">P01</x:t>
        </x:is>
      </x:c>
      <x:c r="B43" t="inlineStr">
        <x:is>
          <x:t xml:space="preserve">C5_L1_5</x:t>
        </x:is>
      </x:c>
      <x:c r="C43" t="n">
        <x:v>1</x:v>
      </x:c>
    </x:row>
    <x:row r="44">
      <x:c r="A44" t="inlineStr">
        <x:is>
          <x:t xml:space="preserve">P01</x:t>
        </x:is>
      </x:c>
      <x:c r="B44" t="inlineStr">
        <x:is>
          <x:t xml:space="preserve">C5_L2_5</x:t>
        </x:is>
      </x:c>
      <x:c r="C44" t="n">
        <x:v>1</x:v>
      </x:c>
    </x:row>
    <x:row r="45">
      <x:c r="A45" t="inlineStr">
        <x:is>
          <x:t xml:space="preserve">P01</x:t>
        </x:is>
      </x:c>
      <x:c r="B45" t="inlineStr">
        <x:is>
          <x:t xml:space="preserve">C5_L3_2</x:t>
        </x:is>
      </x:c>
      <x:c r="C45" t="n">
        <x:v>1</x:v>
      </x:c>
    </x:row>
    <x:row r="46">
      <x:c r="A46" t="inlineStr">
        <x:is>
          <x:t xml:space="preserve">P01</x:t>
        </x:is>
      </x:c>
      <x:c r="B46" t="inlineStr">
        <x:is>
          <x:t xml:space="preserve">F1_4</x:t>
        </x:is>
      </x:c>
      <x:c r="C46" t="n">
        <x:v>1</x:v>
      </x:c>
    </x:row>
    <x:row r="47">
      <x:c r="A47" t="inlineStr">
        <x:is>
          <x:t xml:space="preserve">P01</x:t>
        </x:is>
      </x:c>
      <x:c r="B47" t="inlineStr">
        <x:is>
          <x:t xml:space="preserve">F2_1</x:t>
        </x:is>
      </x:c>
      <x:c r="C47" t="n">
        <x:v>1</x:v>
      </x:c>
    </x:row>
    <x:row r="48">
      <x:c r="A48" t="inlineStr">
        <x:is>
          <x:t xml:space="preserve">P01</x:t>
        </x:is>
      </x:c>
      <x:c r="B48" t="inlineStr">
        <x:is>
          <x:t xml:space="preserve">G1_5</x:t>
        </x:is>
      </x:c>
      <x:c r="C48" t="n">
        <x:v>1</x:v>
      </x:c>
    </x:row>
    <x:row r="49">
      <x:c r="A49" t="inlineStr">
        <x:is>
          <x:t xml:space="preserve">P01</x:t>
        </x:is>
      </x:c>
      <x:c r="B49" t="inlineStr">
        <x:is>
          <x:t xml:space="preserve">G2_4</x:t>
        </x:is>
      </x:c>
      <x:c r="C49" t="n">
        <x:v>1</x:v>
      </x:c>
    </x:row>
    <x:row r="50">
      <x:c r="A50" t="inlineStr">
        <x:is>
          <x:t xml:space="preserve">P01</x:t>
        </x:is>
      </x:c>
      <x:c r="B50" t="inlineStr">
        <x:is>
          <x:t xml:space="preserve">G3_3</x:t>
        </x:is>
      </x:c>
      <x:c r="C50" t="n">
        <x:v>1</x:v>
      </x:c>
    </x:row>
    <x:row r="51">
      <x:c r="A51" t="inlineStr">
        <x:is>
          <x:t xml:space="preserve">P01</x:t>
        </x:is>
      </x:c>
      <x:c r="B51" t="inlineStr">
        <x:is>
          <x:t xml:space="preserve">G4_4</x:t>
        </x:is>
      </x:c>
      <x:c r="C51" t="n">
        <x:v>1</x:v>
      </x:c>
    </x:row>
    <x:row r="52">
      <x:c r="A52" t="inlineStr">
        <x:is>
          <x:t xml:space="preserve">P01</x:t>
        </x:is>
      </x:c>
      <x:c r="B52" t="inlineStr">
        <x:is>
          <x:t xml:space="preserve">G5_4</x:t>
        </x:is>
      </x:c>
      <x:c r="C52" t="n">
        <x:v>1</x:v>
      </x:c>
    </x:row>
    <x:row r="53">
      <x:c r="A53" t="inlineStr">
        <x:is>
          <x:t xml:space="preserve">P01</x:t>
        </x:is>
      </x:c>
      <x:c r="B53" t="inlineStr">
        <x:is>
          <x:t xml:space="preserve">G6_3</x:t>
        </x:is>
      </x:c>
      <x:c r="C53" t="n">
        <x:v>1</x:v>
      </x:c>
    </x:row>
    <x:row r="54">
      <x:c r="A54" t="inlineStr">
        <x:is>
          <x:t xml:space="preserve">P01</x:t>
        </x:is>
      </x:c>
      <x:c r="B54" t="inlineStr">
        <x:is>
          <x:t xml:space="preserve">G7_3</x:t>
        </x:is>
      </x:c>
      <x:c r="C54" t="n">
        <x:v>1</x:v>
      </x:c>
    </x:row>
    <x:row r="55">
      <x:c r="A55" t="inlineStr">
        <x:is>
          <x:t xml:space="preserve">P01</x:t>
        </x:is>
      </x:c>
      <x:c r="B55" t="inlineStr">
        <x:is>
          <x:t xml:space="preserve">P0A_1</x:t>
        </x:is>
      </x:c>
      <x:c r="C55" t="n">
        <x:v>1</x:v>
      </x:c>
    </x:row>
    <x:row r="56">
      <x:c r="A56" t="inlineStr">
        <x:is>
          <x:t xml:space="preserve">P01</x:t>
        </x:is>
      </x:c>
      <x:c r="B56" t="inlineStr">
        <x:is>
          <x:t xml:space="preserve">P0B_2</x:t>
        </x:is>
      </x:c>
      <x:c r="C56" t="n">
        <x:v>1</x:v>
      </x:c>
    </x:row>
    <x:row r="57">
      <x:c r="A57" t="inlineStr">
        <x:is>
          <x:t xml:space="preserve">P01</x:t>
        </x:is>
      </x:c>
      <x:c r="B57" t="inlineStr">
        <x:is>
          <x:t xml:space="preserve">P0C_1</x:t>
        </x:is>
      </x:c>
      <x:c r="C57" t="n">
        <x:v>1</x:v>
      </x:c>
    </x:row>
    <x:row r="58">
      <x:c r="A58" t="inlineStr">
        <x:is>
          <x:t xml:space="preserve">P01</x:t>
        </x:is>
      </x:c>
      <x:c r="B58" t="inlineStr">
        <x:is>
          <x:t xml:space="preserve">PROF_2</x:t>
        </x:is>
      </x:c>
      <x:c r="C58" t="n">
        <x:v>1</x:v>
      </x:c>
    </x:row>
    <x:row r="59">
      <x:c r="A59" t="inlineStr">
        <x:is>
          <x:t xml:space="preserve">P01</x:t>
        </x:is>
      </x:c>
      <x:c r="B59" t="inlineStr">
        <x:is>
          <x:t xml:space="preserve">Q1_2</x:t>
        </x:is>
      </x:c>
      <x:c r="C59" t="n">
        <x:v>1</x:v>
      </x:c>
    </x:row>
    <x:row r="60">
      <x:c r="A60" t="inlineStr">
        <x:is>
          <x:t xml:space="preserve">P01</x:t>
        </x:is>
      </x:c>
      <x:c r="B60" t="inlineStr">
        <x:is>
          <x:t xml:space="preserve">Q2_1</x:t>
        </x:is>
      </x:c>
      <x:c r="C60" t="n">
        <x:v>1</x:v>
      </x:c>
    </x:row>
    <x:row r="61">
      <x:c r="A61" t="inlineStr">
        <x:is>
          <x:t xml:space="preserve">P01</x:t>
        </x:is>
      </x:c>
      <x:c r="B61" t="inlineStr">
        <x:is>
          <x:t xml:space="preserve">Q3_2</x:t>
        </x:is>
      </x:c>
      <x:c r="C61" t="n">
        <x:v>1</x:v>
      </x:c>
    </x:row>
    <x:row r="62">
      <x:c r="A62" t="inlineStr">
        <x:is>
          <x:t xml:space="preserve">P01</x:t>
        </x:is>
      </x:c>
      <x:c r="B62" t="inlineStr">
        <x:is>
          <x:t xml:space="preserve">Q4_2</x:t>
        </x:is>
      </x:c>
      <x:c r="C62" t="n">
        <x:v>1</x:v>
      </x:c>
    </x:row>
    <x:row r="63">
      <x:c r="A63" t="inlineStr">
        <x:is>
          <x:t xml:space="preserve">P01</x:t>
        </x:is>
      </x:c>
      <x:c r="B63" t="inlineStr">
        <x:is>
          <x:t xml:space="preserve">Q5_2</x:t>
        </x:is>
      </x:c>
      <x:c r="C63" t="n">
        <x:v>1</x:v>
      </x:c>
    </x:row>
    <x:row r="64">
      <x:c r="A64" t="inlineStr">
        <x:is>
          <x:t xml:space="preserve">P01</x:t>
        </x:is>
      </x:c>
      <x:c r="B64" t="inlineStr">
        <x:is>
          <x:t xml:space="preserve">S10_3</x:t>
        </x:is>
      </x:c>
      <x:c r="C64" t="n">
        <x:v>1</x:v>
      </x:c>
    </x:row>
    <x:row r="65">
      <x:c r="A65" t="inlineStr">
        <x:is>
          <x:t xml:space="preserve">P01</x:t>
        </x:is>
      </x:c>
      <x:c r="B65" t="inlineStr">
        <x:is>
          <x:t xml:space="preserve">S1_4</x:t>
        </x:is>
      </x:c>
      <x:c r="C65" t="n">
        <x:v>1</x:v>
      </x:c>
    </x:row>
    <x:row r="66">
      <x:c r="A66" t="inlineStr">
        <x:is>
          <x:t xml:space="preserve">P01</x:t>
        </x:is>
      </x:c>
      <x:c r="B66" t="inlineStr">
        <x:is>
          <x:t xml:space="preserve">S2_2</x:t>
        </x:is>
      </x:c>
      <x:c r="C66" t="n">
        <x:v>1</x:v>
      </x:c>
    </x:row>
    <x:row r="67">
      <x:c r="A67" t="inlineStr">
        <x:is>
          <x:t xml:space="preserve">P01</x:t>
        </x:is>
      </x:c>
      <x:c r="B67" t="inlineStr">
        <x:is>
          <x:t xml:space="preserve">S3_4</x:t>
        </x:is>
      </x:c>
      <x:c r="C67" t="n">
        <x:v>1</x:v>
      </x:c>
    </x:row>
    <x:row r="68">
      <x:c r="A68" t="inlineStr">
        <x:is>
          <x:t xml:space="preserve">P01</x:t>
        </x:is>
      </x:c>
      <x:c r="B68" t="inlineStr">
        <x:is>
          <x:t xml:space="preserve">S4_3</x:t>
        </x:is>
      </x:c>
      <x:c r="C68" t="n">
        <x:v>1</x:v>
      </x:c>
    </x:row>
    <x:row r="69">
      <x:c r="A69" t="inlineStr">
        <x:is>
          <x:t xml:space="preserve">P01</x:t>
        </x:is>
      </x:c>
      <x:c r="B69" t="inlineStr">
        <x:is>
          <x:t xml:space="preserve">S5_3</x:t>
        </x:is>
      </x:c>
      <x:c r="C69" t="n">
        <x:v>1</x:v>
      </x:c>
    </x:row>
    <x:row r="70">
      <x:c r="A70" t="inlineStr">
        <x:is>
          <x:t xml:space="preserve">P01</x:t>
        </x:is>
      </x:c>
      <x:c r="B70" t="inlineStr">
        <x:is>
          <x:t xml:space="preserve">S6_2</x:t>
        </x:is>
      </x:c>
      <x:c r="C70" t="n">
        <x:v>1</x:v>
      </x:c>
    </x:row>
    <x:row r="71">
      <x:c r="A71" t="inlineStr">
        <x:is>
          <x:t xml:space="preserve">P01</x:t>
        </x:is>
      </x:c>
      <x:c r="B71" t="inlineStr">
        <x:is>
          <x:t xml:space="preserve">S7_3</x:t>
        </x:is>
      </x:c>
      <x:c r="C71" t="n">
        <x:v>1</x:v>
      </x:c>
    </x:row>
    <x:row r="72">
      <x:c r="A72" t="inlineStr">
        <x:is>
          <x:t xml:space="preserve">P01</x:t>
        </x:is>
      </x:c>
      <x:c r="B72" t="inlineStr">
        <x:is>
          <x:t xml:space="preserve">S8_3</x:t>
        </x:is>
      </x:c>
      <x:c r="C72" t="n">
        <x:v>1</x:v>
      </x:c>
    </x:row>
    <x:row r="73">
      <x:c r="A73" t="inlineStr">
        <x:is>
          <x:t xml:space="preserve">P01</x:t>
        </x:is>
      </x:c>
      <x:c r="B73" t="inlineStr">
        <x:is>
          <x:t xml:space="preserve">S9_4</x:t>
        </x:is>
      </x:c>
      <x:c r="C73" t="n">
        <x:v>1</x:v>
      </x:c>
    </x:row>
    <x:row r="74">
      <x:c r="A74" t="inlineStr">
        <x:is>
          <x:t xml:space="preserve">P01</x:t>
        </x:is>
      </x:c>
      <x:c r="B74" t="inlineStr">
        <x:is>
          <x:t xml:space="preserve">TOK_C_1</x:t>
        </x:is>
      </x:c>
      <x:c r="C74" t="n">
        <x:v>1</x:v>
      </x:c>
    </x:row>
    <x:row r="75">
      <x:c r="A75" t="inlineStr">
        <x:is>
          <x:t xml:space="preserve">P01</x:t>
        </x:is>
      </x:c>
      <x:c r="B75" t="inlineStr">
        <x:is>
          <x:t xml:space="preserve">TOK_C_2</x:t>
        </x:is>
      </x:c>
      <x:c r="C75" t="n">
        <x:v>1</x:v>
      </x:c>
    </x:row>
    <x:row r="76">
      <x:c r="A76" t="inlineStr">
        <x:is>
          <x:t xml:space="preserve">P01</x:t>
        </x:is>
      </x:c>
      <x:c r="B76" t="inlineStr">
        <x:is>
          <x:t xml:space="preserve">TOK_C_3</x:t>
        </x:is>
      </x:c>
      <x:c r="C76" t="n">
        <x:v>1</x:v>
      </x:c>
    </x:row>
    <x:row r="77">
      <x:c r="A77" t="inlineStr">
        <x:is>
          <x:t xml:space="preserve">P01</x:t>
        </x:is>
      </x:c>
      <x:c r="B77" t="inlineStr">
        <x:is>
          <x:t xml:space="preserve">TOK_C_4</x:t>
        </x:is>
      </x:c>
      <x:c r="C77" t="n">
        <x:v>1</x:v>
      </x:c>
    </x:row>
    <x:row r="78">
      <x:c r="A78" t="inlineStr">
        <x:is>
          <x:t xml:space="preserve">P01</x:t>
        </x:is>
      </x:c>
      <x:c r="B78" t="inlineStr">
        <x:is>
          <x:t xml:space="preserve">TOK_S_1</x:t>
        </x:is>
      </x:c>
      <x:c r="C78" t="n">
        <x:v>1</x:v>
      </x:c>
    </x:row>
    <x:row r="79">
      <x:c r="A79" t="inlineStr">
        <x:is>
          <x:t xml:space="preserve">P01</x:t>
        </x:is>
      </x:c>
      <x:c r="B79" t="inlineStr">
        <x:is>
          <x:t xml:space="preserve">TOK_S_2</x:t>
        </x:is>
      </x:c>
      <x:c r="C79" t="n">
        <x:v>1</x:v>
      </x:c>
    </x:row>
    <x:row r="80">
      <x:c r="A80" t="inlineStr">
        <x:is>
          <x:t xml:space="preserve">P01</x:t>
        </x:is>
      </x:c>
      <x:c r="B80" t="inlineStr">
        <x:is>
          <x:t xml:space="preserve">TOK_T_1</x:t>
        </x:is>
      </x:c>
      <x:c r="C80" t="n">
        <x:v>1</x:v>
      </x:c>
    </x:row>
    <x:row r="81">
      <x:c r="A81" t="inlineStr">
        <x:is>
          <x:t xml:space="preserve">P01</x:t>
        </x:is>
      </x:c>
      <x:c r="B81" t="inlineStr">
        <x:is>
          <x:t xml:space="preserve">TOK_T_2</x:t>
        </x:is>
      </x:c>
      <x:c r="C81" t="n">
        <x:v>1</x:v>
      </x:c>
    </x:row>
    <x:row r="82">
      <x:c r="A82" t="inlineStr">
        <x:is>
          <x:t xml:space="preserve">P01</x:t>
        </x:is>
      </x:c>
      <x:c r="B82" t="inlineStr">
        <x:is>
          <x:t xml:space="preserve">TOK_T_3</x:t>
        </x:is>
      </x:c>
      <x:c r="C82" t="n">
        <x:v>1</x:v>
      </x:c>
    </x:row>
    <x:row r="83">
      <x:c r="A83" t="inlineStr">
        <x:is>
          <x:t xml:space="preserve">P01</x:t>
        </x:is>
      </x:c>
      <x:c r="B83" t="inlineStr">
        <x:is>
          <x:t xml:space="preserve">TOK_T_4</x:t>
        </x:is>
      </x:c>
      <x:c r="C83" t="n">
        <x:v>1</x:v>
      </x:c>
    </x:row>
    <x:row r="84">
      <x:c r="A84" t="inlineStr">
        <x:is>
          <x:t xml:space="preserve">P01</x:t>
        </x:is>
      </x:c>
      <x:c r="B84" t="inlineStr">
        <x:is>
          <x:t xml:space="preserve">V1_1_2</x:t>
        </x:is>
      </x:c>
      <x:c r="C84" t="n">
        <x:v>1</x:v>
      </x:c>
    </x:row>
    <x:row r="85">
      <x:c r="A85" t="inlineStr">
        <x:is>
          <x:t xml:space="preserve">P01</x:t>
        </x:is>
      </x:c>
      <x:c r="B85" t="inlineStr">
        <x:is>
          <x:t xml:space="preserve">V1_2_2</x:t>
        </x:is>
      </x:c>
      <x:c r="C85" t="n">
        <x:v>1</x:v>
      </x:c>
    </x:row>
    <x:row r="86">
      <x:c r="A86" t="inlineStr">
        <x:is>
          <x:t xml:space="preserve">P01</x:t>
        </x:is>
      </x:c>
      <x:c r="B86" t="inlineStr">
        <x:is>
          <x:t xml:space="preserve">V1_3_5</x:t>
        </x:is>
      </x:c>
      <x:c r="C86" t="n">
        <x:v>1</x:v>
      </x:c>
    </x:row>
    <x:row r="87">
      <x:c r="A87" t="inlineStr">
        <x:is>
          <x:t xml:space="preserve">P01</x:t>
        </x:is>
      </x:c>
      <x:c r="B87" t="inlineStr">
        <x:is>
          <x:t xml:space="preserve">V2_1_2</x:t>
        </x:is>
      </x:c>
      <x:c r="C87" t="n">
        <x:v>1</x:v>
      </x:c>
    </x:row>
    <x:row r="88">
      <x:c r="A88" t="inlineStr">
        <x:is>
          <x:t xml:space="preserve">P01</x:t>
        </x:is>
      </x:c>
      <x:c r="B88" t="inlineStr">
        <x:is>
          <x:t xml:space="preserve">V2_2_2</x:t>
        </x:is>
      </x:c>
      <x:c r="C88" t="n">
        <x:v>1</x:v>
      </x:c>
    </x:row>
    <x:row r="89">
      <x:c r="A89" t="inlineStr">
        <x:is>
          <x:t xml:space="preserve">P01</x:t>
        </x:is>
      </x:c>
      <x:c r="B89" t="inlineStr">
        <x:is>
          <x:t xml:space="preserve">V2_3_5</x:t>
        </x:is>
      </x:c>
      <x:c r="C89" t="n">
        <x:v>1</x:v>
      </x:c>
    </x:row>
    <x:row r="90">
      <x:c r="A90" t="inlineStr">
        <x:is>
          <x:t xml:space="preserve">P01</x:t>
        </x:is>
      </x:c>
      <x:c r="B90" t="inlineStr">
        <x:is>
          <x:t xml:space="preserve">COMMENTO</x:t>
        </x:is>
      </x:c>
      <x:c r="C90" t="inlineStr">
        <x:is>
          <x:t xml:space="preserve">…………………………</x:t>
        </x:is>
      </x:c>
    </x:row>
    <x:row r="91">
      <x:c r="A91" t="inlineStr">
        <x:is>
          <x:t xml:space="preserve">P01</x:t>
        </x:is>
      </x:c>
      <x:c r="B91" t="inlineStr">
        <x:is>
          <x:t xml:space="preserve">T_FINE</x:t>
        </x:is>
      </x:c>
      <x:c r="C91" t="inlineStr">
        <x:is>
          <x:t xml:space="preserve">hh:mm</x:t>
        </x:is>
      </x:c>
    </x:row>
    <x:row r="92">
      <x:c r="A92" t="inlineStr">
        <x:is>
          <x:t xml:space="preserve">P01</x:t>
        </x:is>
      </x:c>
      <x:c r="B92" t="inlineStr">
        <x:is>
          <x:t xml:space="preserve">T_INIZIO</x:t>
        </x:is>
      </x:c>
      <x:c r="C92" t="inlineStr">
        <x:is>
          <x:t xml:space="preserve">hh:mm</x:t>
        </x:is>
      </x:c>
    </x:row>
    <x:row r="93">
      <x:c r="A93" t="inlineStr">
        <x:is>
          <x:t xml:space="preserve">P02</x:t>
        </x:is>
      </x:c>
      <x:c r="B93" t="inlineStr">
        <x:is>
          <x:t xml:space="preserve">ADESIONE_1</x:t>
        </x:is>
      </x:c>
      <x:c r="C93" t="n">
        <x:v>1</x:v>
      </x:c>
    </x:row>
    <x:row r="94">
      <x:c r="A94" t="inlineStr">
        <x:is>
          <x:t xml:space="preserve">P02</x:t>
        </x:is>
      </x:c>
      <x:c r="B94" t="inlineStr">
        <x:is>
          <x:t xml:space="preserve">C1_D1_4</x:t>
        </x:is>
      </x:c>
      <x:c r="C94" t="n">
        <x:v>1</x:v>
      </x:c>
    </x:row>
    <x:row r="95">
      <x:c r="A95" t="inlineStr">
        <x:is>
          <x:t xml:space="preserve">P02</x:t>
        </x:is>
      </x:c>
      <x:c r="B95" t="inlineStr">
        <x:is>
          <x:t xml:space="preserve">C1_D2_6</x:t>
        </x:is>
      </x:c>
      <x:c r="C95" t="n">
        <x:v>1</x:v>
      </x:c>
    </x:row>
    <x:row r="96">
      <x:c r="A96" t="inlineStr">
        <x:is>
          <x:t xml:space="preserve">P02</x:t>
        </x:is>
      </x:c>
      <x:c r="B96" t="inlineStr">
        <x:is>
          <x:t xml:space="preserve">C1_D3_3</x:t>
        </x:is>
      </x:c>
      <x:c r="C96" t="n">
        <x:v>1</x:v>
      </x:c>
    </x:row>
    <x:row r="97">
      <x:c r="A97" t="inlineStr">
        <x:is>
          <x:t xml:space="preserve">P02</x:t>
        </x:is>
      </x:c>
      <x:c r="B97" t="inlineStr">
        <x:is>
          <x:t xml:space="preserve">C1_D3_6</x:t>
        </x:is>
      </x:c>
      <x:c r="C97" t="n">
        <x:v>1</x:v>
      </x:c>
    </x:row>
    <x:row r="98">
      <x:c r="A98" t="inlineStr">
        <x:is>
          <x:t xml:space="preserve">P02</x:t>
        </x:is>
      </x:c>
      <x:c r="B98" t="inlineStr">
        <x:is>
          <x:t xml:space="preserve">C1_D4_5</x:t>
        </x:is>
      </x:c>
      <x:c r="C98" t="n">
        <x:v>1</x:v>
      </x:c>
    </x:row>
    <x:row r="99">
      <x:c r="A99" t="inlineStr">
        <x:is>
          <x:t xml:space="preserve">P02</x:t>
        </x:is>
      </x:c>
      <x:c r="B99" t="inlineStr">
        <x:is>
          <x:t xml:space="preserve">C1_D5_5</x:t>
        </x:is>
      </x:c>
      <x:c r="C99" t="n">
        <x:v>1</x:v>
      </x:c>
    </x:row>
    <x:row r="100">
      <x:c r="A100" t="inlineStr">
        <x:is>
          <x:t xml:space="preserve">P02</x:t>
        </x:is>
      </x:c>
      <x:c r="B100" t="inlineStr">
        <x:is>
          <x:t xml:space="preserve">C1_L1_4</x:t>
        </x:is>
      </x:c>
      <x:c r="C100" t="n">
        <x:v>1</x:v>
      </x:c>
    </x:row>
    <x:row r="101">
      <x:c r="A101" t="inlineStr">
        <x:is>
          <x:t xml:space="preserve">P02</x:t>
        </x:is>
      </x:c>
      <x:c r="B101" t="inlineStr">
        <x:is>
          <x:t xml:space="preserve">C1_L2_2</x:t>
        </x:is>
      </x:c>
      <x:c r="C101" t="n">
        <x:v>1</x:v>
      </x:c>
    </x:row>
    <x:row r="102">
      <x:c r="A102" t="inlineStr">
        <x:is>
          <x:t xml:space="preserve">P02</x:t>
        </x:is>
      </x:c>
      <x:c r="B102" t="inlineStr">
        <x:is>
          <x:t xml:space="preserve">C1_L3_2</x:t>
        </x:is>
      </x:c>
      <x:c r="C102" t="n">
        <x:v>1</x:v>
      </x:c>
    </x:row>
    <x:row r="103">
      <x:c r="A103" t="inlineStr">
        <x:is>
          <x:t xml:space="preserve">P02</x:t>
        </x:is>
      </x:c>
      <x:c r="B103" t="inlineStr">
        <x:is>
          <x:t xml:space="preserve">C2_D1_4</x:t>
        </x:is>
      </x:c>
      <x:c r="C103" t="n">
        <x:v>1</x:v>
      </x:c>
    </x:row>
    <x:row r="104">
      <x:c r="A104" t="inlineStr">
        <x:is>
          <x:t xml:space="preserve">P02</x:t>
        </x:is>
      </x:c>
      <x:c r="B104" t="inlineStr">
        <x:is>
          <x:t xml:space="preserve">C2_D2_5</x:t>
        </x:is>
      </x:c>
      <x:c r="C104" t="n">
        <x:v>1</x:v>
      </x:c>
    </x:row>
    <x:row r="105">
      <x:c r="A105" t="inlineStr">
        <x:is>
          <x:t xml:space="preserve">P02</x:t>
        </x:is>
      </x:c>
      <x:c r="B105" t="inlineStr">
        <x:is>
          <x:t xml:space="preserve">C2_D3_3</x:t>
        </x:is>
      </x:c>
      <x:c r="C105" t="n">
        <x:v>1</x:v>
      </x:c>
    </x:row>
    <x:row r="106">
      <x:c r="A106" t="inlineStr">
        <x:is>
          <x:t xml:space="preserve">P02</x:t>
        </x:is>
      </x:c>
      <x:c r="B106" t="inlineStr">
        <x:is>
          <x:t xml:space="preserve">C2_D3_6</x:t>
        </x:is>
      </x:c>
      <x:c r="C106" t="n">
        <x:v>1</x:v>
      </x:c>
    </x:row>
    <x:row r="107">
      <x:c r="A107" t="inlineStr">
        <x:is>
          <x:t xml:space="preserve">P02</x:t>
        </x:is>
      </x:c>
      <x:c r="B107" t="inlineStr">
        <x:is>
          <x:t xml:space="preserve">C2_D4_3</x:t>
        </x:is>
      </x:c>
      <x:c r="C107" t="n">
        <x:v>1</x:v>
      </x:c>
    </x:row>
    <x:row r="108">
      <x:c r="A108" t="inlineStr">
        <x:is>
          <x:t xml:space="preserve">P02</x:t>
        </x:is>
      </x:c>
      <x:c r="B108" t="inlineStr">
        <x:is>
          <x:t xml:space="preserve">C2_D5_5</x:t>
        </x:is>
      </x:c>
      <x:c r="C108" t="n">
        <x:v>1</x:v>
      </x:c>
    </x:row>
    <x:row r="109">
      <x:c r="A109" t="inlineStr">
        <x:is>
          <x:t xml:space="preserve">P02</x:t>
        </x:is>
      </x:c>
      <x:c r="B109" t="inlineStr">
        <x:is>
          <x:t xml:space="preserve">C2_L1_5</x:t>
        </x:is>
      </x:c>
      <x:c r="C109" t="n">
        <x:v>1</x:v>
      </x:c>
    </x:row>
    <x:row r="110">
      <x:c r="A110" t="inlineStr">
        <x:is>
          <x:t xml:space="preserve">P02</x:t>
        </x:is>
      </x:c>
      <x:c r="B110" t="inlineStr">
        <x:is>
          <x:t xml:space="preserve">C2_L2_3</x:t>
        </x:is>
      </x:c>
      <x:c r="C110" t="n">
        <x:v>1</x:v>
      </x:c>
    </x:row>
    <x:row r="111">
      <x:c r="A111" t="inlineStr">
        <x:is>
          <x:t xml:space="preserve">P02</x:t>
        </x:is>
      </x:c>
      <x:c r="B111" t="inlineStr">
        <x:is>
          <x:t xml:space="preserve">C2_L3_2</x:t>
        </x:is>
      </x:c>
      <x:c r="C111" t="n">
        <x:v>1</x:v>
      </x:c>
    </x:row>
    <x:row r="112">
      <x:c r="A112" t="inlineStr">
        <x:is>
          <x:t xml:space="preserve">P02</x:t>
        </x:is>
      </x:c>
      <x:c r="B112" t="inlineStr">
        <x:is>
          <x:t xml:space="preserve">C3_D1_2</x:t>
        </x:is>
      </x:c>
      <x:c r="C112" t="n">
        <x:v>1</x:v>
      </x:c>
    </x:row>
    <x:row r="113">
      <x:c r="A113" t="inlineStr">
        <x:is>
          <x:t xml:space="preserve">P02</x:t>
        </x:is>
      </x:c>
      <x:c r="B113" t="inlineStr">
        <x:is>
          <x:t xml:space="preserve">C3_D2_4</x:t>
        </x:is>
      </x:c>
      <x:c r="C113" t="n">
        <x:v>1</x:v>
      </x:c>
    </x:row>
    <x:row r="114">
      <x:c r="A114" t="inlineStr">
        <x:is>
          <x:t xml:space="preserve">P02</x:t>
        </x:is>
      </x:c>
      <x:c r="B114" t="inlineStr">
        <x:is>
          <x:t xml:space="preserve">C3_D3_3</x:t>
        </x:is>
      </x:c>
      <x:c r="C114" t="n">
        <x:v>1</x:v>
      </x:c>
    </x:row>
    <x:row r="115">
      <x:c r="A115" t="inlineStr">
        <x:is>
          <x:t xml:space="preserve">P02</x:t>
        </x:is>
      </x:c>
      <x:c r="B115" t="inlineStr">
        <x:is>
          <x:t xml:space="preserve">C3_D3_6</x:t>
        </x:is>
      </x:c>
      <x:c r="C115" t="n">
        <x:v>1</x:v>
      </x:c>
    </x:row>
    <x:row r="116">
      <x:c r="A116" t="inlineStr">
        <x:is>
          <x:t xml:space="preserve">P02</x:t>
        </x:is>
      </x:c>
      <x:c r="B116" t="inlineStr">
        <x:is>
          <x:t xml:space="preserve">C3_D4_7</x:t>
        </x:is>
      </x:c>
      <x:c r="C116" t="n">
        <x:v>1</x:v>
      </x:c>
    </x:row>
    <x:row r="117">
      <x:c r="A117" t="inlineStr">
        <x:is>
          <x:t xml:space="preserve">P02</x:t>
        </x:is>
      </x:c>
      <x:c r="B117" t="inlineStr">
        <x:is>
          <x:t xml:space="preserve">C3_D5_4</x:t>
        </x:is>
      </x:c>
      <x:c r="C117" t="n">
        <x:v>1</x:v>
      </x:c>
    </x:row>
    <x:row r="118">
      <x:c r="A118" t="inlineStr">
        <x:is>
          <x:t xml:space="preserve">P02</x:t>
        </x:is>
      </x:c>
      <x:c r="B118" t="inlineStr">
        <x:is>
          <x:t xml:space="preserve">C3_L1_2</x:t>
        </x:is>
      </x:c>
      <x:c r="C118" t="n">
        <x:v>1</x:v>
      </x:c>
    </x:row>
    <x:row r="119">
      <x:c r="A119" t="inlineStr">
        <x:is>
          <x:t xml:space="preserve">P02</x:t>
        </x:is>
      </x:c>
      <x:c r="B119" t="inlineStr">
        <x:is>
          <x:t xml:space="preserve">C3_L2_3</x:t>
        </x:is>
      </x:c>
      <x:c r="C119" t="n">
        <x:v>1</x:v>
      </x:c>
    </x:row>
    <x:row r="120">
      <x:c r="A120" t="inlineStr">
        <x:is>
          <x:t xml:space="preserve">P02</x:t>
        </x:is>
      </x:c>
      <x:c r="B120" t="inlineStr">
        <x:is>
          <x:t xml:space="preserve">C3_L3_1</x:t>
        </x:is>
      </x:c>
      <x:c r="C120" t="n">
        <x:v>1</x:v>
      </x:c>
    </x:row>
    <x:row r="121">
      <x:c r="A121" t="inlineStr">
        <x:is>
          <x:t xml:space="preserve">P02</x:t>
        </x:is>
      </x:c>
      <x:c r="B121" t="inlineStr">
        <x:is>
          <x:t xml:space="preserve">C4_D1_2</x:t>
        </x:is>
      </x:c>
      <x:c r="C121" t="n">
        <x:v>1</x:v>
      </x:c>
    </x:row>
    <x:row r="122">
      <x:c r="A122" t="inlineStr">
        <x:is>
          <x:t xml:space="preserve">P02</x:t>
        </x:is>
      </x:c>
      <x:c r="B122" t="inlineStr">
        <x:is>
          <x:t xml:space="preserve">C4_D2_3</x:t>
        </x:is>
      </x:c>
      <x:c r="C122" t="n">
        <x:v>1</x:v>
      </x:c>
    </x:row>
    <x:row r="123">
      <x:c r="A123" t="inlineStr">
        <x:is>
          <x:t xml:space="preserve">P02</x:t>
        </x:is>
      </x:c>
      <x:c r="B123" t="inlineStr">
        <x:is>
          <x:t xml:space="preserve">C4_D3_3</x:t>
        </x:is>
      </x:c>
      <x:c r="C123" t="n">
        <x:v>1</x:v>
      </x:c>
    </x:row>
    <x:row r="124">
      <x:c r="A124" t="inlineStr">
        <x:is>
          <x:t xml:space="preserve">P02</x:t>
        </x:is>
      </x:c>
      <x:c r="B124" t="inlineStr">
        <x:is>
          <x:t xml:space="preserve">C4_D3_4</x:t>
        </x:is>
      </x:c>
      <x:c r="C124" t="n">
        <x:v>1</x:v>
      </x:c>
    </x:row>
    <x:row r="125">
      <x:c r="A125" t="inlineStr">
        <x:is>
          <x:t xml:space="preserve">P02</x:t>
        </x:is>
      </x:c>
      <x:c r="B125" t="inlineStr">
        <x:is>
          <x:t xml:space="preserve">C4_D4_5</x:t>
        </x:is>
      </x:c>
      <x:c r="C125" t="n">
        <x:v>1</x:v>
      </x:c>
    </x:row>
    <x:row r="126">
      <x:c r="A126" t="inlineStr">
        <x:is>
          <x:t xml:space="preserve">P02</x:t>
        </x:is>
      </x:c>
      <x:c r="B126" t="inlineStr">
        <x:is>
          <x:t xml:space="preserve">C4_D5_4</x:t>
        </x:is>
      </x:c>
      <x:c r="C126" t="n">
        <x:v>1</x:v>
      </x:c>
    </x:row>
    <x:row r="127">
      <x:c r="A127" t="inlineStr">
        <x:is>
          <x:t xml:space="preserve">P02</x:t>
        </x:is>
      </x:c>
      <x:c r="B127" t="inlineStr">
        <x:is>
          <x:t xml:space="preserve">C4_L1_2</x:t>
        </x:is>
      </x:c>
      <x:c r="C127" t="n">
        <x:v>1</x:v>
      </x:c>
    </x:row>
    <x:row r="128">
      <x:c r="A128" t="inlineStr">
        <x:is>
          <x:t xml:space="preserve">P02</x:t>
        </x:is>
      </x:c>
      <x:c r="B128" t="inlineStr">
        <x:is>
          <x:t xml:space="preserve">C4_L2_4</x:t>
        </x:is>
      </x:c>
      <x:c r="C128" t="n">
        <x:v>1</x:v>
      </x:c>
    </x:row>
    <x:row r="129">
      <x:c r="A129" t="inlineStr">
        <x:is>
          <x:t xml:space="preserve">P02</x:t>
        </x:is>
      </x:c>
      <x:c r="B129" t="inlineStr">
        <x:is>
          <x:t xml:space="preserve">C4_L3_4</x:t>
        </x:is>
      </x:c>
      <x:c r="C129" t="n">
        <x:v>1</x:v>
      </x:c>
    </x:row>
    <x:row r="130">
      <x:c r="A130" t="inlineStr">
        <x:is>
          <x:t xml:space="preserve">P02</x:t>
        </x:is>
      </x:c>
      <x:c r="B130" t="inlineStr">
        <x:is>
          <x:t xml:space="preserve">C5_D1_6</x:t>
        </x:is>
      </x:c>
      <x:c r="C130" t="n">
        <x:v>1</x:v>
      </x:c>
    </x:row>
    <x:row r="131">
      <x:c r="A131" t="inlineStr">
        <x:is>
          <x:t xml:space="preserve">P02</x:t>
        </x:is>
      </x:c>
      <x:c r="B131" t="inlineStr">
        <x:is>
          <x:t xml:space="preserve">C5_D2_8</x:t>
        </x:is>
      </x:c>
      <x:c r="C131" t="n">
        <x:v>1</x:v>
      </x:c>
    </x:row>
    <x:row r="132">
      <x:c r="A132" t="inlineStr">
        <x:is>
          <x:t xml:space="preserve">P02</x:t>
        </x:is>
      </x:c>
      <x:c r="B132" t="inlineStr">
        <x:is>
          <x:t xml:space="preserve">C5_D3_8</x:t>
        </x:is>
      </x:c>
      <x:c r="C132" t="n">
        <x:v>1</x:v>
      </x:c>
    </x:row>
    <x:row r="133">
      <x:c r="A133" t="inlineStr">
        <x:is>
          <x:t xml:space="preserve">P02</x:t>
        </x:is>
      </x:c>
      <x:c r="B133" t="inlineStr">
        <x:is>
          <x:t xml:space="preserve">C5_D4_10</x:t>
        </x:is>
      </x:c>
      <x:c r="C133" t="n">
        <x:v>1</x:v>
      </x:c>
    </x:row>
    <x:row r="134">
      <x:c r="A134" t="inlineStr">
        <x:is>
          <x:t xml:space="preserve">P02</x:t>
        </x:is>
      </x:c>
      <x:c r="B134" t="inlineStr">
        <x:is>
          <x:t xml:space="preserve">C5_D5_5</x:t>
        </x:is>
      </x:c>
      <x:c r="C134" t="n">
        <x:v>1</x:v>
      </x:c>
    </x:row>
    <x:row r="135">
      <x:c r="A135" t="inlineStr">
        <x:is>
          <x:t xml:space="preserve">P02</x:t>
        </x:is>
      </x:c>
      <x:c r="B135" t="inlineStr">
        <x:is>
          <x:t xml:space="preserve">C5_L1_6</x:t>
        </x:is>
      </x:c>
      <x:c r="C135" t="n">
        <x:v>1</x:v>
      </x:c>
    </x:row>
    <x:row r="136">
      <x:c r="A136" t="inlineStr">
        <x:is>
          <x:t xml:space="preserve">P02</x:t>
        </x:is>
      </x:c>
      <x:c r="B136" t="inlineStr">
        <x:is>
          <x:t xml:space="preserve">C5_L2_4</x:t>
        </x:is>
      </x:c>
      <x:c r="C136" t="n">
        <x:v>1</x:v>
      </x:c>
    </x:row>
    <x:row r="137">
      <x:c r="A137" t="inlineStr">
        <x:is>
          <x:t xml:space="preserve">P02</x:t>
        </x:is>
      </x:c>
      <x:c r="B137" t="inlineStr">
        <x:is>
          <x:t xml:space="preserve">C5_L3_2</x:t>
        </x:is>
      </x:c>
      <x:c r="C137" t="n">
        <x:v>1</x:v>
      </x:c>
    </x:row>
    <x:row r="138">
      <x:c r="A138" t="inlineStr">
        <x:is>
          <x:t xml:space="preserve">P02</x:t>
        </x:is>
      </x:c>
      <x:c r="B138" t="inlineStr">
        <x:is>
          <x:t xml:space="preserve">F1_3</x:t>
        </x:is>
      </x:c>
      <x:c r="C138" t="n">
        <x:v>1</x:v>
      </x:c>
    </x:row>
    <x:row r="139">
      <x:c r="A139" t="inlineStr">
        <x:is>
          <x:t xml:space="preserve">P02</x:t>
        </x:is>
      </x:c>
      <x:c r="B139" t="inlineStr">
        <x:is>
          <x:t xml:space="preserve">F2_1</x:t>
        </x:is>
      </x:c>
      <x:c r="C139" t="n">
        <x:v>1</x:v>
      </x:c>
    </x:row>
    <x:row r="140">
      <x:c r="A140" t="inlineStr">
        <x:is>
          <x:t xml:space="preserve">P02</x:t>
        </x:is>
      </x:c>
      <x:c r="B140" t="inlineStr">
        <x:is>
          <x:t xml:space="preserve">F2_3</x:t>
        </x:is>
      </x:c>
      <x:c r="C140" t="n">
        <x:v>1</x:v>
      </x:c>
    </x:row>
    <x:row r="141">
      <x:c r="A141" t="inlineStr">
        <x:is>
          <x:t xml:space="preserve">P02</x:t>
        </x:is>
      </x:c>
      <x:c r="B141" t="inlineStr">
        <x:is>
          <x:t xml:space="preserve">G1_4</x:t>
        </x:is>
      </x:c>
      <x:c r="C141" t="n">
        <x:v>1</x:v>
      </x:c>
    </x:row>
    <x:row r="142">
      <x:c r="A142" t="inlineStr">
        <x:is>
          <x:t xml:space="preserve">P02</x:t>
        </x:is>
      </x:c>
      <x:c r="B142" t="inlineStr">
        <x:is>
          <x:t xml:space="preserve">G2_4</x:t>
        </x:is>
      </x:c>
      <x:c r="C142" t="n">
        <x:v>1</x:v>
      </x:c>
    </x:row>
    <x:row r="143">
      <x:c r="A143" t="inlineStr">
        <x:is>
          <x:t xml:space="preserve">P02</x:t>
        </x:is>
      </x:c>
      <x:c r="B143" t="inlineStr">
        <x:is>
          <x:t xml:space="preserve">G3_4</x:t>
        </x:is>
      </x:c>
      <x:c r="C143" t="n">
        <x:v>1</x:v>
      </x:c>
    </x:row>
    <x:row r="144">
      <x:c r="A144" t="inlineStr">
        <x:is>
          <x:t xml:space="preserve">P02</x:t>
        </x:is>
      </x:c>
      <x:c r="B144" t="inlineStr">
        <x:is>
          <x:t xml:space="preserve">G4_4</x:t>
        </x:is>
      </x:c>
      <x:c r="C144" t="n">
        <x:v>1</x:v>
      </x:c>
    </x:row>
    <x:row r="145">
      <x:c r="A145" t="inlineStr">
        <x:is>
          <x:t xml:space="preserve">P02</x:t>
        </x:is>
      </x:c>
      <x:c r="B145" t="inlineStr">
        <x:is>
          <x:t xml:space="preserve">G5_4</x:t>
        </x:is>
      </x:c>
      <x:c r="C145" t="n">
        <x:v>1</x:v>
      </x:c>
    </x:row>
    <x:row r="146">
      <x:c r="A146" t="inlineStr">
        <x:is>
          <x:t xml:space="preserve">P02</x:t>
        </x:is>
      </x:c>
      <x:c r="B146" t="inlineStr">
        <x:is>
          <x:t xml:space="preserve">G6_3</x:t>
        </x:is>
      </x:c>
      <x:c r="C146" t="n">
        <x:v>1</x:v>
      </x:c>
    </x:row>
    <x:row r="147">
      <x:c r="A147" t="inlineStr">
        <x:is>
          <x:t xml:space="preserve">P02</x:t>
        </x:is>
      </x:c>
      <x:c r="B147" t="inlineStr">
        <x:is>
          <x:t xml:space="preserve">G7_4</x:t>
        </x:is>
      </x:c>
      <x:c r="C147" t="n">
        <x:v>1</x:v>
      </x:c>
    </x:row>
    <x:row r="148">
      <x:c r="A148" t="inlineStr">
        <x:is>
          <x:t xml:space="preserve">P02</x:t>
        </x:is>
      </x:c>
      <x:c r="B148" t="inlineStr">
        <x:is>
          <x:t xml:space="preserve">P0A_4</x:t>
        </x:is>
      </x:c>
      <x:c r="C148" t="n">
        <x:v>1</x:v>
      </x:c>
    </x:row>
    <x:row r="149">
      <x:c r="A149" t="inlineStr">
        <x:is>
          <x:t xml:space="preserve">P02</x:t>
        </x:is>
      </x:c>
      <x:c r="B149" t="inlineStr">
        <x:is>
          <x:t xml:space="preserve">P0B_2</x:t>
        </x:is>
      </x:c>
      <x:c r="C149" t="n">
        <x:v>1</x:v>
      </x:c>
    </x:row>
    <x:row r="150">
      <x:c r="A150" t="inlineStr">
        <x:is>
          <x:t xml:space="preserve">P02</x:t>
        </x:is>
      </x:c>
      <x:c r="B150" t="inlineStr">
        <x:is>
          <x:t xml:space="preserve">P0C_2</x:t>
        </x:is>
      </x:c>
      <x:c r="C150" t="n">
        <x:v>1</x:v>
      </x:c>
    </x:row>
    <x:row r="151">
      <x:c r="A151" t="inlineStr">
        <x:is>
          <x:t xml:space="preserve">P02</x:t>
        </x:is>
      </x:c>
      <x:c r="B151" t="inlineStr">
        <x:is>
          <x:t xml:space="preserve">PROF_2</x:t>
        </x:is>
      </x:c>
      <x:c r="C151" t="n">
        <x:v>1</x:v>
      </x:c>
    </x:row>
    <x:row r="152">
      <x:c r="A152" t="inlineStr">
        <x:is>
          <x:t xml:space="preserve">P02</x:t>
        </x:is>
      </x:c>
      <x:c r="B152" t="inlineStr">
        <x:is>
          <x:t xml:space="preserve">Q1_2</x:t>
        </x:is>
      </x:c>
      <x:c r="C152" t="n">
        <x:v>1</x:v>
      </x:c>
    </x:row>
    <x:row r="153">
      <x:c r="A153" t="inlineStr">
        <x:is>
          <x:t xml:space="preserve">P02</x:t>
        </x:is>
      </x:c>
      <x:c r="B153" t="inlineStr">
        <x:is>
          <x:t xml:space="preserve">Q2_1</x:t>
        </x:is>
      </x:c>
      <x:c r="C153" t="n">
        <x:v>1</x:v>
      </x:c>
    </x:row>
    <x:row r="154">
      <x:c r="A154" t="inlineStr">
        <x:is>
          <x:t xml:space="preserve">P02</x:t>
        </x:is>
      </x:c>
      <x:c r="B154" t="inlineStr">
        <x:is>
          <x:t xml:space="preserve">Q3_2</x:t>
        </x:is>
      </x:c>
      <x:c r="C154" t="n">
        <x:v>1</x:v>
      </x:c>
    </x:row>
    <x:row r="155">
      <x:c r="A155" t="inlineStr">
        <x:is>
          <x:t xml:space="preserve">P02</x:t>
        </x:is>
      </x:c>
      <x:c r="B155" t="inlineStr">
        <x:is>
          <x:t xml:space="preserve">Q4_2</x:t>
        </x:is>
      </x:c>
      <x:c r="C155" t="n">
        <x:v>1</x:v>
      </x:c>
    </x:row>
    <x:row r="156">
      <x:c r="A156" t="inlineStr">
        <x:is>
          <x:t xml:space="preserve">P02</x:t>
        </x:is>
      </x:c>
      <x:c r="B156" t="inlineStr">
        <x:is>
          <x:t xml:space="preserve">Q5_2</x:t>
        </x:is>
      </x:c>
      <x:c r="C156" t="n">
        <x:v>1</x:v>
      </x:c>
    </x:row>
    <x:row r="157">
      <x:c r="A157" t="inlineStr">
        <x:is>
          <x:t xml:space="preserve">P02</x:t>
        </x:is>
      </x:c>
      <x:c r="B157" t="inlineStr">
        <x:is>
          <x:t xml:space="preserve">S10_2</x:t>
        </x:is>
      </x:c>
      <x:c r="C157" t="n">
        <x:v>1</x:v>
      </x:c>
    </x:row>
    <x:row r="158">
      <x:c r="A158" t="inlineStr">
        <x:is>
          <x:t xml:space="preserve">P02</x:t>
        </x:is>
      </x:c>
      <x:c r="B158" t="inlineStr">
        <x:is>
          <x:t xml:space="preserve">S1_4</x:t>
        </x:is>
      </x:c>
      <x:c r="C158" t="n">
        <x:v>1</x:v>
      </x:c>
    </x:row>
    <x:row r="159">
      <x:c r="A159" t="inlineStr">
        <x:is>
          <x:t xml:space="preserve">P02</x:t>
        </x:is>
      </x:c>
      <x:c r="B159" t="inlineStr">
        <x:is>
          <x:t xml:space="preserve">S2_2</x:t>
        </x:is>
      </x:c>
      <x:c r="C159" t="n">
        <x:v>1</x:v>
      </x:c>
    </x:row>
    <x:row r="160">
      <x:c r="A160" t="inlineStr">
        <x:is>
          <x:t xml:space="preserve">P02</x:t>
        </x:is>
      </x:c>
      <x:c r="B160" t="inlineStr">
        <x:is>
          <x:t xml:space="preserve">S3_4</x:t>
        </x:is>
      </x:c>
      <x:c r="C160" t="n">
        <x:v>1</x:v>
      </x:c>
    </x:row>
    <x:row r="161">
      <x:c r="A161" t="inlineStr">
        <x:is>
          <x:t xml:space="preserve">P02</x:t>
        </x:is>
      </x:c>
      <x:c r="B161" t="inlineStr">
        <x:is>
          <x:t xml:space="preserve">S4_2</x:t>
        </x:is>
      </x:c>
      <x:c r="C161" t="n">
        <x:v>1</x:v>
      </x:c>
    </x:row>
    <x:row r="162">
      <x:c r="A162" t="inlineStr">
        <x:is>
          <x:t xml:space="preserve">P02</x:t>
        </x:is>
      </x:c>
      <x:c r="B162" t="inlineStr">
        <x:is>
          <x:t xml:space="preserve">S5_4</x:t>
        </x:is>
      </x:c>
      <x:c r="C162" t="n">
        <x:v>1</x:v>
      </x:c>
    </x:row>
    <x:row r="163">
      <x:c r="A163" t="inlineStr">
        <x:is>
          <x:t xml:space="preserve">P02</x:t>
        </x:is>
      </x:c>
      <x:c r="B163" t="inlineStr">
        <x:is>
          <x:t xml:space="preserve">S6_1</x:t>
        </x:is>
      </x:c>
      <x:c r="C163" t="n">
        <x:v>1</x:v>
      </x:c>
    </x:row>
    <x:row r="164">
      <x:c r="A164" t="inlineStr">
        <x:is>
          <x:t xml:space="preserve">P02</x:t>
        </x:is>
      </x:c>
      <x:c r="B164" t="inlineStr">
        <x:is>
          <x:t xml:space="preserve">S7_4</x:t>
        </x:is>
      </x:c>
      <x:c r="C164" t="n">
        <x:v>1</x:v>
      </x:c>
    </x:row>
    <x:row r="165">
      <x:c r="A165" t="inlineStr">
        <x:is>
          <x:t xml:space="preserve">P02</x:t>
        </x:is>
      </x:c>
      <x:c r="B165" t="inlineStr">
        <x:is>
          <x:t xml:space="preserve">S8_1</x:t>
        </x:is>
      </x:c>
      <x:c r="C165" t="n">
        <x:v>1</x:v>
      </x:c>
    </x:row>
    <x:row r="166">
      <x:c r="A166" t="inlineStr">
        <x:is>
          <x:t xml:space="preserve">P02</x:t>
        </x:is>
      </x:c>
      <x:c r="B166" t="inlineStr">
        <x:is>
          <x:t xml:space="preserve">S9_4</x:t>
        </x:is>
      </x:c>
      <x:c r="C166" t="n">
        <x:v>1</x:v>
      </x:c>
    </x:row>
    <x:row r="167">
      <x:c r="A167" t="inlineStr">
        <x:is>
          <x:t xml:space="preserve">P02</x:t>
        </x:is>
      </x:c>
      <x:c r="B167" t="inlineStr">
        <x:is>
          <x:t xml:space="preserve">TOK_C_1</x:t>
        </x:is>
      </x:c>
      <x:c r="C167" t="n">
        <x:v>1</x:v>
      </x:c>
    </x:row>
    <x:row r="168">
      <x:c r="A168" t="inlineStr">
        <x:is>
          <x:t xml:space="preserve">P02</x:t>
        </x:is>
      </x:c>
      <x:c r="B168" t="inlineStr">
        <x:is>
          <x:t xml:space="preserve">TOK_C_2</x:t>
        </x:is>
      </x:c>
      <x:c r="C168" t="n">
        <x:v>1</x:v>
      </x:c>
    </x:row>
    <x:row r="169">
      <x:c r="A169" t="inlineStr">
        <x:is>
          <x:t xml:space="preserve">P02</x:t>
        </x:is>
      </x:c>
      <x:c r="B169" t="inlineStr">
        <x:is>
          <x:t xml:space="preserve">TOK_S_1</x:t>
        </x:is>
      </x:c>
      <x:c r="C169" t="n">
        <x:v>1</x:v>
      </x:c>
    </x:row>
    <x:row r="170">
      <x:c r="A170" t="inlineStr">
        <x:is>
          <x:t xml:space="preserve">P02</x:t>
        </x:is>
      </x:c>
      <x:c r="B170" t="inlineStr">
        <x:is>
          <x:t xml:space="preserve">TOK_S_2</x:t>
        </x:is>
      </x:c>
      <x:c r="C170" t="n">
        <x:v>1</x:v>
      </x:c>
    </x:row>
    <x:row r="171">
      <x:c r="A171" t="inlineStr">
        <x:is>
          <x:t xml:space="preserve">P02</x:t>
        </x:is>
      </x:c>
      <x:c r="B171" t="inlineStr">
        <x:is>
          <x:t xml:space="preserve">TOK_S_3</x:t>
        </x:is>
      </x:c>
      <x:c r="C171" t="n">
        <x:v>1</x:v>
      </x:c>
    </x:row>
    <x:row r="172">
      <x:c r="A172" t="inlineStr">
        <x:is>
          <x:t xml:space="preserve">P02</x:t>
        </x:is>
      </x:c>
      <x:c r="B172" t="inlineStr">
        <x:is>
          <x:t xml:space="preserve">TOK_S_4</x:t>
        </x:is>
      </x:c>
      <x:c r="C172" t="n">
        <x:v>1</x:v>
      </x:c>
    </x:row>
    <x:row r="173">
      <x:c r="A173" t="inlineStr">
        <x:is>
          <x:t xml:space="preserve">P02</x:t>
        </x:is>
      </x:c>
      <x:c r="B173" t="inlineStr">
        <x:is>
          <x:t xml:space="preserve">TOK_T_1</x:t>
        </x:is>
      </x:c>
      <x:c r="C173" t="n">
        <x:v>1</x:v>
      </x:c>
    </x:row>
    <x:row r="174">
      <x:c r="A174" t="inlineStr">
        <x:is>
          <x:t xml:space="preserve">P02</x:t>
        </x:is>
      </x:c>
      <x:c r="B174" t="inlineStr">
        <x:is>
          <x:t xml:space="preserve">TOK_T_2</x:t>
        </x:is>
      </x:c>
      <x:c r="C174" t="n">
        <x:v>1</x:v>
      </x:c>
    </x:row>
    <x:row r="175">
      <x:c r="A175" t="inlineStr">
        <x:is>
          <x:t xml:space="preserve">P02</x:t>
        </x:is>
      </x:c>
      <x:c r="B175" t="inlineStr">
        <x:is>
          <x:t xml:space="preserve">TOK_T_3</x:t>
        </x:is>
      </x:c>
      <x:c r="C175" t="n">
        <x:v>1</x:v>
      </x:c>
    </x:row>
    <x:row r="176">
      <x:c r="A176" t="inlineStr">
        <x:is>
          <x:t xml:space="preserve">P02</x:t>
        </x:is>
      </x:c>
      <x:c r="B176" t="inlineStr">
        <x:is>
          <x:t xml:space="preserve">TOK_T_4</x:t>
        </x:is>
      </x:c>
      <x:c r="C176" t="n">
        <x:v>1</x:v>
      </x:c>
    </x:row>
    <x:row r="177">
      <x:c r="A177" t="inlineStr">
        <x:is>
          <x:t xml:space="preserve">P02</x:t>
        </x:is>
      </x:c>
      <x:c r="B177" t="inlineStr">
        <x:is>
          <x:t xml:space="preserve">V1_1_2</x:t>
        </x:is>
      </x:c>
      <x:c r="C177" t="n">
        <x:v>1</x:v>
      </x:c>
    </x:row>
    <x:row r="178">
      <x:c r="A178" t="inlineStr">
        <x:is>
          <x:t xml:space="preserve">P02</x:t>
        </x:is>
      </x:c>
      <x:c r="B178" t="inlineStr">
        <x:is>
          <x:t xml:space="preserve">V1_2_3</x:t>
        </x:is>
      </x:c>
      <x:c r="C178" t="n">
        <x:v>1</x:v>
      </x:c>
    </x:row>
    <x:row r="179">
      <x:c r="A179" t="inlineStr">
        <x:is>
          <x:t xml:space="preserve">P02</x:t>
        </x:is>
      </x:c>
      <x:c r="B179" t="inlineStr">
        <x:is>
          <x:t xml:space="preserve">V1_3_3</x:t>
        </x:is>
      </x:c>
      <x:c r="C179" t="n">
        <x:v>1</x:v>
      </x:c>
    </x:row>
    <x:row r="180">
      <x:c r="A180" t="inlineStr">
        <x:is>
          <x:t xml:space="preserve">P02</x:t>
        </x:is>
      </x:c>
      <x:c r="B180" t="inlineStr">
        <x:is>
          <x:t xml:space="preserve">V2_1_2</x:t>
        </x:is>
      </x:c>
      <x:c r="C180" t="n">
        <x:v>1</x:v>
      </x:c>
    </x:row>
    <x:row r="181">
      <x:c r="A181" t="inlineStr">
        <x:is>
          <x:t xml:space="preserve">P02</x:t>
        </x:is>
      </x:c>
      <x:c r="B181" t="inlineStr">
        <x:is>
          <x:t xml:space="preserve">V2_2_3</x:t>
        </x:is>
      </x:c>
      <x:c r="C181" t="n">
        <x:v>1</x:v>
      </x:c>
    </x:row>
    <x:row r="182">
      <x:c r="A182" t="inlineStr">
        <x:is>
          <x:t xml:space="preserve">P02</x:t>
        </x:is>
      </x:c>
      <x:c r="B182" t="inlineStr">
        <x:is>
          <x:t xml:space="preserve">V2_3_4</x:t>
        </x:is>
      </x:c>
      <x:c r="C182" t="n">
        <x:v>1</x:v>
      </x:c>
    </x:row>
    <x:row r="183">
      <x:c r="A183" t="inlineStr">
        <x:is>
          <x:t xml:space="preserve">P02</x:t>
        </x:is>
      </x:c>
      <x:c r="B183" t="inlineStr">
        <x:is>
          <x:t xml:space="preserve">COMMENTO</x:t>
        </x:is>
      </x:c>
      <x:c r="C183" t="inlineStr">
        <x:is>
          <x:t xml:space="preserve">…………………………</x:t>
        </x:is>
      </x:c>
    </x:row>
    <x:row r="184">
      <x:c r="A184" t="inlineStr">
        <x:is>
          <x:t xml:space="preserve">P02</x:t>
        </x:is>
      </x:c>
      <x:c r="B184" t="inlineStr">
        <x:is>
          <x:t xml:space="preserve">T_FINE</x:t>
        </x:is>
      </x:c>
      <x:c r="C184" t="inlineStr">
        <x:is>
          <x:t xml:space="preserve">hh:mm</x:t>
        </x:is>
      </x:c>
    </x:row>
    <x:row r="185">
      <x:c r="A185" t="inlineStr">
        <x:is>
          <x:t xml:space="preserve">P02</x:t>
        </x:is>
      </x:c>
      <x:c r="B185" t="inlineStr">
        <x:is>
          <x:t xml:space="preserve">T_INIZIO</x:t>
        </x:is>
      </x:c>
      <x:c r="C185" t="inlineStr">
        <x:is>
          <x:t xml:space="preserve">hh:mm</x:t>
        </x:is>
      </x:c>
    </x:row>
    <x:row r="186">
      <x:c r="A186" t="inlineStr">
        <x:is>
          <x:t xml:space="preserve">P03</x:t>
        </x:is>
      </x:c>
      <x:c r="B186" t="inlineStr">
        <x:is>
          <x:t xml:space="preserve">ADESIONE_1</x:t>
        </x:is>
      </x:c>
      <x:c r="C186" t="n">
        <x:v>1</x:v>
      </x:c>
    </x:row>
    <x:row r="187">
      <x:c r="A187" t="inlineStr">
        <x:is>
          <x:t xml:space="preserve">P03</x:t>
        </x:is>
      </x:c>
      <x:c r="B187" t="inlineStr">
        <x:is>
          <x:t xml:space="preserve">C1_D1_1</x:t>
        </x:is>
      </x:c>
      <x:c r="C187" t="n">
        <x:v>1</x:v>
      </x:c>
    </x:row>
    <x:row r="188">
      <x:c r="A188" t="inlineStr">
        <x:is>
          <x:t xml:space="preserve">P03</x:t>
        </x:is>
      </x:c>
      <x:c r="B188" t="inlineStr">
        <x:is>
          <x:t xml:space="preserve">C1_D2_2</x:t>
        </x:is>
      </x:c>
      <x:c r="C188" t="n">
        <x:v>1</x:v>
      </x:c>
    </x:row>
    <x:row r="189">
      <x:c r="A189" t="inlineStr">
        <x:is>
          <x:t xml:space="preserve">P03</x:t>
        </x:is>
      </x:c>
      <x:c r="B189" t="inlineStr">
        <x:is>
          <x:t xml:space="preserve">C1_D3_7</x:t>
        </x:is>
      </x:c>
      <x:c r="C189" t="n">
        <x:v>1</x:v>
      </x:c>
    </x:row>
    <x:row r="190">
      <x:c r="A190" t="inlineStr">
        <x:is>
          <x:t xml:space="preserve">P03</x:t>
        </x:is>
      </x:c>
      <x:c r="B190" t="inlineStr">
        <x:is>
          <x:t xml:space="preserve">C1_D4_4</x:t>
        </x:is>
      </x:c>
      <x:c r="C190" t="n">
        <x:v>1</x:v>
      </x:c>
    </x:row>
    <x:row r="191">
      <x:c r="A191" t="inlineStr">
        <x:is>
          <x:t xml:space="preserve">P03</x:t>
        </x:is>
      </x:c>
      <x:c r="B191" t="inlineStr">
        <x:is>
          <x:t xml:space="preserve">C1_D5_6</x:t>
        </x:is>
      </x:c>
      <x:c r="C191" t="n">
        <x:v>1</x:v>
      </x:c>
    </x:row>
    <x:row r="192">
      <x:c r="A192" t="inlineStr">
        <x:is>
          <x:t xml:space="preserve">P03</x:t>
        </x:is>
      </x:c>
      <x:c r="B192" t="inlineStr">
        <x:is>
          <x:t xml:space="preserve">C1_L1_2</x:t>
        </x:is>
      </x:c>
      <x:c r="C192" t="n">
        <x:v>1</x:v>
      </x:c>
    </x:row>
    <x:row r="193">
      <x:c r="A193" t="inlineStr">
        <x:is>
          <x:t xml:space="preserve">P03</x:t>
        </x:is>
      </x:c>
      <x:c r="B193" t="inlineStr">
        <x:is>
          <x:t xml:space="preserve">C1_L2_4</x:t>
        </x:is>
      </x:c>
      <x:c r="C193" t="n">
        <x:v>1</x:v>
      </x:c>
    </x:row>
    <x:row r="194">
      <x:c r="A194" t="inlineStr">
        <x:is>
          <x:t xml:space="preserve">P03</x:t>
        </x:is>
      </x:c>
      <x:c r="B194" t="inlineStr">
        <x:is>
          <x:t xml:space="preserve">C1_L3_1</x:t>
        </x:is>
      </x:c>
      <x:c r="C194" t="n">
        <x:v>1</x:v>
      </x:c>
    </x:row>
    <x:row r="195">
      <x:c r="A195" t="inlineStr">
        <x:is>
          <x:t xml:space="preserve">P03</x:t>
        </x:is>
      </x:c>
      <x:c r="B195" t="inlineStr">
        <x:is>
          <x:t xml:space="preserve">C2_D1_1</x:t>
        </x:is>
      </x:c>
      <x:c r="C195" t="n">
        <x:v>1</x:v>
      </x:c>
    </x:row>
    <x:row r="196">
      <x:c r="A196" t="inlineStr">
        <x:is>
          <x:t xml:space="preserve">P03</x:t>
        </x:is>
      </x:c>
      <x:c r="B196" t="inlineStr">
        <x:is>
          <x:t xml:space="preserve">C2_D2_2</x:t>
        </x:is>
      </x:c>
      <x:c r="C196" t="n">
        <x:v>1</x:v>
      </x:c>
    </x:row>
    <x:row r="197">
      <x:c r="A197" t="inlineStr">
        <x:is>
          <x:t xml:space="preserve">P03</x:t>
        </x:is>
      </x:c>
      <x:c r="B197" t="inlineStr">
        <x:is>
          <x:t xml:space="preserve">C2_D3_7</x:t>
        </x:is>
      </x:c>
      <x:c r="C197" t="n">
        <x:v>1</x:v>
      </x:c>
    </x:row>
    <x:row r="198">
      <x:c r="A198" t="inlineStr">
        <x:is>
          <x:t xml:space="preserve">P03</x:t>
        </x:is>
      </x:c>
      <x:c r="B198" t="inlineStr">
        <x:is>
          <x:t xml:space="preserve">C2_D4_9</x:t>
        </x:is>
      </x:c>
      <x:c r="C198" t="n">
        <x:v>1</x:v>
      </x:c>
    </x:row>
    <x:row r="199">
      <x:c r="A199" t="inlineStr">
        <x:is>
          <x:t xml:space="preserve">P03</x:t>
        </x:is>
      </x:c>
      <x:c r="B199" t="inlineStr">
        <x:is>
          <x:t xml:space="preserve">C2_D5_6</x:t>
        </x:is>
      </x:c>
      <x:c r="C199" t="n">
        <x:v>1</x:v>
      </x:c>
    </x:row>
    <x:row r="200">
      <x:c r="A200" t="inlineStr">
        <x:is>
          <x:t xml:space="preserve">P03</x:t>
        </x:is>
      </x:c>
      <x:c r="B200" t="inlineStr">
        <x:is>
          <x:t xml:space="preserve">C2_L1_2</x:t>
        </x:is>
      </x:c>
      <x:c r="C200" t="n">
        <x:v>1</x:v>
      </x:c>
    </x:row>
    <x:row r="201">
      <x:c r="A201" t="inlineStr">
        <x:is>
          <x:t xml:space="preserve">P03</x:t>
        </x:is>
      </x:c>
      <x:c r="B201" t="inlineStr">
        <x:is>
          <x:t xml:space="preserve">C2_L2_2</x:t>
        </x:is>
      </x:c>
      <x:c r="C201" t="n">
        <x:v>1</x:v>
      </x:c>
    </x:row>
    <x:row r="202">
      <x:c r="A202" t="inlineStr">
        <x:is>
          <x:t xml:space="preserve">P03</x:t>
        </x:is>
      </x:c>
      <x:c r="B202" t="inlineStr">
        <x:is>
          <x:t xml:space="preserve">C2_L3_4</x:t>
        </x:is>
      </x:c>
      <x:c r="C202" t="n">
        <x:v>1</x:v>
      </x:c>
    </x:row>
    <x:row r="203">
      <x:c r="A203" t="inlineStr">
        <x:is>
          <x:t xml:space="preserve">P03</x:t>
        </x:is>
      </x:c>
      <x:c r="B203" t="inlineStr">
        <x:is>
          <x:t xml:space="preserve">C3_D1_3</x:t>
        </x:is>
      </x:c>
      <x:c r="C203" t="n">
        <x:v>1</x:v>
      </x:c>
    </x:row>
    <x:row r="204">
      <x:c r="A204" t="inlineStr">
        <x:is>
          <x:t xml:space="preserve">P03</x:t>
        </x:is>
      </x:c>
      <x:c r="B204" t="inlineStr">
        <x:is>
          <x:t xml:space="preserve">C3_D2_7</x:t>
        </x:is>
      </x:c>
      <x:c r="C204" t="n">
        <x:v>1</x:v>
      </x:c>
    </x:row>
    <x:row r="205">
      <x:c r="A205" t="inlineStr">
        <x:is>
          <x:t xml:space="preserve">P03</x:t>
        </x:is>
      </x:c>
      <x:c r="B205" t="inlineStr">
        <x:is>
          <x:t xml:space="preserve">C3_D3_8</x:t>
        </x:is>
      </x:c>
      <x:c r="C205" t="n">
        <x:v>1</x:v>
      </x:c>
    </x:row>
    <x:row r="206">
      <x:c r="A206" t="inlineStr">
        <x:is>
          <x:t xml:space="preserve">P03</x:t>
        </x:is>
      </x:c>
      <x:c r="B206" t="inlineStr">
        <x:is>
          <x:t xml:space="preserve">C3_D4_10</x:t>
        </x:is>
      </x:c>
      <x:c r="C206" t="n">
        <x:v>1</x:v>
      </x:c>
    </x:row>
    <x:row r="207">
      <x:c r="A207" t="inlineStr">
        <x:is>
          <x:t xml:space="preserve">P03</x:t>
        </x:is>
      </x:c>
      <x:c r="B207" t="inlineStr">
        <x:is>
          <x:t xml:space="preserve">C3_D5_7</x:t>
        </x:is>
      </x:c>
      <x:c r="C207" t="n">
        <x:v>1</x:v>
      </x:c>
    </x:row>
    <x:row r="208">
      <x:c r="A208" t="inlineStr">
        <x:is>
          <x:t xml:space="preserve">P03</x:t>
        </x:is>
      </x:c>
      <x:c r="B208" t="inlineStr">
        <x:is>
          <x:t xml:space="preserve">C3_L1_3</x:t>
        </x:is>
      </x:c>
      <x:c r="C208" t="n">
        <x:v>1</x:v>
      </x:c>
    </x:row>
    <x:row r="209">
      <x:c r="A209" t="inlineStr">
        <x:is>
          <x:t xml:space="preserve">P03</x:t>
        </x:is>
      </x:c>
      <x:c r="B209" t="inlineStr">
        <x:is>
          <x:t xml:space="preserve">C3_L2_2</x:t>
        </x:is>
      </x:c>
      <x:c r="C209" t="n">
        <x:v>1</x:v>
      </x:c>
    </x:row>
    <x:row r="210">
      <x:c r="A210" t="inlineStr">
        <x:is>
          <x:t xml:space="preserve">P03</x:t>
        </x:is>
      </x:c>
      <x:c r="B210" t="inlineStr">
        <x:is>
          <x:t xml:space="preserve">C3_L3_3</x:t>
        </x:is>
      </x:c>
      <x:c r="C210" t="n">
        <x:v>1</x:v>
      </x:c>
    </x:row>
    <x:row r="211">
      <x:c r="A211" t="inlineStr">
        <x:is>
          <x:t xml:space="preserve">P03</x:t>
        </x:is>
      </x:c>
      <x:c r="B211" t="inlineStr">
        <x:is>
          <x:t xml:space="preserve">C4_D1_4</x:t>
        </x:is>
      </x:c>
      <x:c r="C211" t="n">
        <x:v>1</x:v>
      </x:c>
    </x:row>
    <x:row r="212">
      <x:c r="A212" t="inlineStr">
        <x:is>
          <x:t xml:space="preserve">P03</x:t>
        </x:is>
      </x:c>
      <x:c r="B212" t="inlineStr">
        <x:is>
          <x:t xml:space="preserve">C4_D2_7</x:t>
        </x:is>
      </x:c>
      <x:c r="C212" t="n">
        <x:v>1</x:v>
      </x:c>
    </x:row>
    <x:row r="213">
      <x:c r="A213" t="inlineStr">
        <x:is>
          <x:t xml:space="preserve">P03</x:t>
        </x:is>
      </x:c>
      <x:c r="B213" t="inlineStr">
        <x:is>
          <x:t xml:space="preserve">C4_D3_8</x:t>
        </x:is>
      </x:c>
      <x:c r="C213" t="n">
        <x:v>1</x:v>
      </x:c>
    </x:row>
    <x:row r="214">
      <x:c r="A214" t="inlineStr">
        <x:is>
          <x:t xml:space="preserve">P03</x:t>
        </x:is>
      </x:c>
      <x:c r="B214" t="inlineStr">
        <x:is>
          <x:t xml:space="preserve">C4_D4_10</x:t>
        </x:is>
      </x:c>
      <x:c r="C214" t="n">
        <x:v>1</x:v>
      </x:c>
    </x:row>
    <x:row r="215">
      <x:c r="A215" t="inlineStr">
        <x:is>
          <x:t xml:space="preserve">P03</x:t>
        </x:is>
      </x:c>
      <x:c r="B215" t="inlineStr">
        <x:is>
          <x:t xml:space="preserve">C4_D5_7</x:t>
        </x:is>
      </x:c>
      <x:c r="C215" t="n">
        <x:v>1</x:v>
      </x:c>
    </x:row>
    <x:row r="216">
      <x:c r="A216" t="inlineStr">
        <x:is>
          <x:t xml:space="preserve">P03</x:t>
        </x:is>
      </x:c>
      <x:c r="B216" t="inlineStr">
        <x:is>
          <x:t xml:space="preserve">C4_L1_4</x:t>
        </x:is>
      </x:c>
      <x:c r="C216" t="n">
        <x:v>1</x:v>
      </x:c>
    </x:row>
    <x:row r="217">
      <x:c r="A217" t="inlineStr">
        <x:is>
          <x:t xml:space="preserve">P03</x:t>
        </x:is>
      </x:c>
      <x:c r="B217" t="inlineStr">
        <x:is>
          <x:t xml:space="preserve">C4_L2_3</x:t>
        </x:is>
      </x:c>
      <x:c r="C217" t="n">
        <x:v>1</x:v>
      </x:c>
    </x:row>
    <x:row r="218">
      <x:c r="A218" t="inlineStr">
        <x:is>
          <x:t xml:space="preserve">P03</x:t>
        </x:is>
      </x:c>
      <x:c r="B218" t="inlineStr">
        <x:is>
          <x:t xml:space="preserve">C4_L3_3</x:t>
        </x:is>
      </x:c>
      <x:c r="C218" t="n">
        <x:v>1</x:v>
      </x:c>
    </x:row>
    <x:row r="219">
      <x:c r="A219" t="inlineStr">
        <x:is>
          <x:t xml:space="preserve">P03</x:t>
        </x:is>
      </x:c>
      <x:c r="B219" t="inlineStr">
        <x:is>
          <x:t xml:space="preserve">C5_D1_6</x:t>
        </x:is>
      </x:c>
      <x:c r="C219" t="n">
        <x:v>1</x:v>
      </x:c>
    </x:row>
    <x:row r="220">
      <x:c r="A220" t="inlineStr">
        <x:is>
          <x:t xml:space="preserve">P03</x:t>
        </x:is>
      </x:c>
      <x:c r="B220" t="inlineStr">
        <x:is>
          <x:t xml:space="preserve">C5_D2_7</x:t>
        </x:is>
      </x:c>
      <x:c r="C220" t="n">
        <x:v>1</x:v>
      </x:c>
    </x:row>
    <x:row r="221">
      <x:c r="A221" t="inlineStr">
        <x:is>
          <x:t xml:space="preserve">P03</x:t>
        </x:is>
      </x:c>
      <x:c r="B221" t="inlineStr">
        <x:is>
          <x:t xml:space="preserve">C5_D3_8</x:t>
        </x:is>
      </x:c>
      <x:c r="C221" t="n">
        <x:v>1</x:v>
      </x:c>
    </x:row>
    <x:row r="222">
      <x:c r="A222" t="inlineStr">
        <x:is>
          <x:t xml:space="preserve">P03</x:t>
        </x:is>
      </x:c>
      <x:c r="B222" t="inlineStr">
        <x:is>
          <x:t xml:space="preserve">C5_D4_5</x:t>
        </x:is>
      </x:c>
      <x:c r="C222" t="n">
        <x:v>1</x:v>
      </x:c>
    </x:row>
    <x:row r="223">
      <x:c r="A223" t="inlineStr">
        <x:is>
          <x:t xml:space="preserve">P03</x:t>
        </x:is>
      </x:c>
      <x:c r="B223" t="inlineStr">
        <x:is>
          <x:t xml:space="preserve">C5_D5_6</x:t>
        </x:is>
      </x:c>
      <x:c r="C223" t="n">
        <x:v>1</x:v>
      </x:c>
    </x:row>
    <x:row r="224">
      <x:c r="A224" t="inlineStr">
        <x:is>
          <x:t xml:space="preserve">P03</x:t>
        </x:is>
      </x:c>
      <x:c r="B224" t="inlineStr">
        <x:is>
          <x:t xml:space="preserve">C5_L1_6</x:t>
        </x:is>
      </x:c>
      <x:c r="C224" t="n">
        <x:v>1</x:v>
      </x:c>
    </x:row>
    <x:row r="225">
      <x:c r="A225" t="inlineStr">
        <x:is>
          <x:t xml:space="preserve">P03</x:t>
        </x:is>
      </x:c>
      <x:c r="B225" t="inlineStr">
        <x:is>
          <x:t xml:space="preserve">C5_L2_5</x:t>
        </x:is>
      </x:c>
      <x:c r="C225" t="n">
        <x:v>1</x:v>
      </x:c>
    </x:row>
    <x:row r="226">
      <x:c r="A226" t="inlineStr">
        <x:is>
          <x:t xml:space="preserve">P03</x:t>
        </x:is>
      </x:c>
      <x:c r="B226" t="inlineStr">
        <x:is>
          <x:t xml:space="preserve">C5_L3_3</x:t>
        </x:is>
      </x:c>
      <x:c r="C226" t="n">
        <x:v>1</x:v>
      </x:c>
    </x:row>
    <x:row r="227">
      <x:c r="A227" t="inlineStr">
        <x:is>
          <x:t xml:space="preserve">P03</x:t>
        </x:is>
      </x:c>
      <x:c r="B227" t="inlineStr">
        <x:is>
          <x:t xml:space="preserve">F1_4</x:t>
        </x:is>
      </x:c>
      <x:c r="C227" t="n">
        <x:v>1</x:v>
      </x:c>
    </x:row>
    <x:row r="228">
      <x:c r="A228" t="inlineStr">
        <x:is>
          <x:t xml:space="preserve">P03</x:t>
        </x:is>
      </x:c>
      <x:c r="B228" t="inlineStr">
        <x:is>
          <x:t xml:space="preserve">F2_1</x:t>
        </x:is>
      </x:c>
      <x:c r="C228" t="n">
        <x:v>1</x:v>
      </x:c>
    </x:row>
    <x:row r="229">
      <x:c r="A229" t="inlineStr">
        <x:is>
          <x:t xml:space="preserve">P03</x:t>
        </x:is>
      </x:c>
      <x:c r="B229" t="inlineStr">
        <x:is>
          <x:t xml:space="preserve">G1_5</x:t>
        </x:is>
      </x:c>
      <x:c r="C229" t="n">
        <x:v>1</x:v>
      </x:c>
    </x:row>
    <x:row r="230">
      <x:c r="A230" t="inlineStr">
        <x:is>
          <x:t xml:space="preserve">P03</x:t>
        </x:is>
      </x:c>
      <x:c r="B230" t="inlineStr">
        <x:is>
          <x:t xml:space="preserve">G2_5</x:t>
        </x:is>
      </x:c>
      <x:c r="C230" t="n">
        <x:v>1</x:v>
      </x:c>
    </x:row>
    <x:row r="231">
      <x:c r="A231" t="inlineStr">
        <x:is>
          <x:t xml:space="preserve">P03</x:t>
        </x:is>
      </x:c>
      <x:c r="B231" t="inlineStr">
        <x:is>
          <x:t xml:space="preserve">G3_4</x:t>
        </x:is>
      </x:c>
      <x:c r="C231" t="n">
        <x:v>1</x:v>
      </x:c>
    </x:row>
    <x:row r="232">
      <x:c r="A232" t="inlineStr">
        <x:is>
          <x:t xml:space="preserve">P03</x:t>
        </x:is>
      </x:c>
      <x:c r="B232" t="inlineStr">
        <x:is>
          <x:t xml:space="preserve">G4_4</x:t>
        </x:is>
      </x:c>
      <x:c r="C232" t="n">
        <x:v>1</x:v>
      </x:c>
    </x:row>
    <x:row r="233">
      <x:c r="A233" t="inlineStr">
        <x:is>
          <x:t xml:space="preserve">P03</x:t>
        </x:is>
      </x:c>
      <x:c r="B233" t="inlineStr">
        <x:is>
          <x:t xml:space="preserve">G5_5</x:t>
        </x:is>
      </x:c>
      <x:c r="C233" t="n">
        <x:v>1</x:v>
      </x:c>
    </x:row>
    <x:row r="234">
      <x:c r="A234" t="inlineStr">
        <x:is>
          <x:t xml:space="preserve">P03</x:t>
        </x:is>
      </x:c>
      <x:c r="B234" t="inlineStr">
        <x:is>
          <x:t xml:space="preserve">G6_3</x:t>
        </x:is>
      </x:c>
      <x:c r="C234" t="n">
        <x:v>1</x:v>
      </x:c>
    </x:row>
    <x:row r="235">
      <x:c r="A235" t="inlineStr">
        <x:is>
          <x:t xml:space="preserve">P03</x:t>
        </x:is>
      </x:c>
      <x:c r="B235" t="inlineStr">
        <x:is>
          <x:t xml:space="preserve">G7_5</x:t>
        </x:is>
      </x:c>
      <x:c r="C235" t="n">
        <x:v>1</x:v>
      </x:c>
    </x:row>
    <x:row r="236">
      <x:c r="A236" t="inlineStr">
        <x:is>
          <x:t xml:space="preserve">P03</x:t>
        </x:is>
      </x:c>
      <x:c r="B236" t="inlineStr">
        <x:is>
          <x:t xml:space="preserve">P0A_1</x:t>
        </x:is>
      </x:c>
      <x:c r="C236" t="n">
        <x:v>1</x:v>
      </x:c>
    </x:row>
    <x:row r="237">
      <x:c r="A237" t="inlineStr">
        <x:is>
          <x:t xml:space="preserve">P03</x:t>
        </x:is>
      </x:c>
      <x:c r="B237" t="inlineStr">
        <x:is>
          <x:t xml:space="preserve">P0B_2</x:t>
        </x:is>
      </x:c>
      <x:c r="C237" t="n">
        <x:v>1</x:v>
      </x:c>
    </x:row>
    <x:row r="238">
      <x:c r="A238" t="inlineStr">
        <x:is>
          <x:t xml:space="preserve">P03</x:t>
        </x:is>
      </x:c>
      <x:c r="B238" t="inlineStr">
        <x:is>
          <x:t xml:space="preserve">P0C_3</x:t>
        </x:is>
      </x:c>
      <x:c r="C238" t="n">
        <x:v>1</x:v>
      </x:c>
    </x:row>
    <x:row r="239">
      <x:c r="A239" t="inlineStr">
        <x:is>
          <x:t xml:space="preserve">P03</x:t>
        </x:is>
      </x:c>
      <x:c r="B239" t="inlineStr">
        <x:is>
          <x:t xml:space="preserve">PROF_2</x:t>
        </x:is>
      </x:c>
      <x:c r="C239" t="n">
        <x:v>1</x:v>
      </x:c>
    </x:row>
    <x:row r="240">
      <x:c r="A240" t="inlineStr">
        <x:is>
          <x:t xml:space="preserve">P03</x:t>
        </x:is>
      </x:c>
      <x:c r="B240" t="inlineStr">
        <x:is>
          <x:t xml:space="preserve">Q1_2</x:t>
        </x:is>
      </x:c>
      <x:c r="C240" t="n">
        <x:v>1</x:v>
      </x:c>
    </x:row>
    <x:row r="241">
      <x:c r="A241" t="inlineStr">
        <x:is>
          <x:t xml:space="preserve">P03</x:t>
        </x:is>
      </x:c>
      <x:c r="B241" t="inlineStr">
        <x:is>
          <x:t xml:space="preserve">Q2_1</x:t>
        </x:is>
      </x:c>
      <x:c r="C241" t="n">
        <x:v>1</x:v>
      </x:c>
    </x:row>
    <x:row r="242">
      <x:c r="A242" t="inlineStr">
        <x:is>
          <x:t xml:space="preserve">P03</x:t>
        </x:is>
      </x:c>
      <x:c r="B242" t="inlineStr">
        <x:is>
          <x:t xml:space="preserve">Q3_2</x:t>
        </x:is>
      </x:c>
      <x:c r="C242" t="n">
        <x:v>1</x:v>
      </x:c>
    </x:row>
    <x:row r="243">
      <x:c r="A243" t="inlineStr">
        <x:is>
          <x:t xml:space="preserve">P03</x:t>
        </x:is>
      </x:c>
      <x:c r="B243" t="inlineStr">
        <x:is>
          <x:t xml:space="preserve">Q4_2</x:t>
        </x:is>
      </x:c>
      <x:c r="C243" t="n">
        <x:v>1</x:v>
      </x:c>
    </x:row>
    <x:row r="244">
      <x:c r="A244" t="inlineStr">
        <x:is>
          <x:t xml:space="preserve">P03</x:t>
        </x:is>
      </x:c>
      <x:c r="B244" t="inlineStr">
        <x:is>
          <x:t xml:space="preserve">Q5_2</x:t>
        </x:is>
      </x:c>
      <x:c r="C244" t="n">
        <x:v>1</x:v>
      </x:c>
    </x:row>
    <x:row r="245">
      <x:c r="A245" t="inlineStr">
        <x:is>
          <x:t xml:space="preserve">P03</x:t>
        </x:is>
      </x:c>
      <x:c r="B245" t="inlineStr">
        <x:is>
          <x:t xml:space="preserve">S10_2</x:t>
        </x:is>
      </x:c>
      <x:c r="C245" t="n">
        <x:v>1</x:v>
      </x:c>
    </x:row>
    <x:row r="246">
      <x:c r="A246" t="inlineStr">
        <x:is>
          <x:t xml:space="preserve">P03</x:t>
        </x:is>
      </x:c>
      <x:c r="B246" t="inlineStr">
        <x:is>
          <x:t xml:space="preserve">S1_4</x:t>
        </x:is>
      </x:c>
      <x:c r="C246" t="n">
        <x:v>1</x:v>
      </x:c>
    </x:row>
    <x:row r="247">
      <x:c r="A247" t="inlineStr">
        <x:is>
          <x:t xml:space="preserve">P03</x:t>
        </x:is>
      </x:c>
      <x:c r="B247" t="inlineStr">
        <x:is>
          <x:t xml:space="preserve">S2_2</x:t>
        </x:is>
      </x:c>
      <x:c r="C247" t="n">
        <x:v>1</x:v>
      </x:c>
    </x:row>
    <x:row r="248">
      <x:c r="A248" t="inlineStr">
        <x:is>
          <x:t xml:space="preserve">P03</x:t>
        </x:is>
      </x:c>
      <x:c r="B248" t="inlineStr">
        <x:is>
          <x:t xml:space="preserve">S3_4</x:t>
        </x:is>
      </x:c>
      <x:c r="C248" t="n">
        <x:v>1</x:v>
      </x:c>
    </x:row>
    <x:row r="249">
      <x:c r="A249" t="inlineStr">
        <x:is>
          <x:t xml:space="preserve">P03</x:t>
        </x:is>
      </x:c>
      <x:c r="B249" t="inlineStr">
        <x:is>
          <x:t xml:space="preserve">S4_2</x:t>
        </x:is>
      </x:c>
      <x:c r="C249" t="n">
        <x:v>1</x:v>
      </x:c>
    </x:row>
    <x:row r="250">
      <x:c r="A250" t="inlineStr">
        <x:is>
          <x:t xml:space="preserve">P03</x:t>
        </x:is>
      </x:c>
      <x:c r="B250" t="inlineStr">
        <x:is>
          <x:t xml:space="preserve">S5_4</x:t>
        </x:is>
      </x:c>
      <x:c r="C250" t="n">
        <x:v>1</x:v>
      </x:c>
    </x:row>
    <x:row r="251">
      <x:c r="A251" t="inlineStr">
        <x:is>
          <x:t xml:space="preserve">P03</x:t>
        </x:is>
      </x:c>
      <x:c r="B251" t="inlineStr">
        <x:is>
          <x:t xml:space="preserve">S6_2</x:t>
        </x:is>
      </x:c>
      <x:c r="C251" t="n">
        <x:v>1</x:v>
      </x:c>
    </x:row>
    <x:row r="252">
      <x:c r="A252" t="inlineStr">
        <x:is>
          <x:t xml:space="preserve">P03</x:t>
        </x:is>
      </x:c>
      <x:c r="B252" t="inlineStr">
        <x:is>
          <x:t xml:space="preserve">S7_4</x:t>
        </x:is>
      </x:c>
      <x:c r="C252" t="n">
        <x:v>1</x:v>
      </x:c>
    </x:row>
    <x:row r="253">
      <x:c r="A253" t="inlineStr">
        <x:is>
          <x:t xml:space="preserve">P03</x:t>
        </x:is>
      </x:c>
      <x:c r="B253" t="inlineStr">
        <x:is>
          <x:t xml:space="preserve">S8_2</x:t>
        </x:is>
      </x:c>
      <x:c r="C253" t="n">
        <x:v>1</x:v>
      </x:c>
    </x:row>
    <x:row r="254">
      <x:c r="A254" t="inlineStr">
        <x:is>
          <x:t xml:space="preserve">P03</x:t>
        </x:is>
      </x:c>
      <x:c r="B254" t="inlineStr">
        <x:is>
          <x:t xml:space="preserve">S9_4</x:t>
        </x:is>
      </x:c>
      <x:c r="C254" t="n">
        <x:v>1</x:v>
      </x:c>
    </x:row>
    <x:row r="255">
      <x:c r="A255" t="inlineStr">
        <x:is>
          <x:t xml:space="preserve">P03</x:t>
        </x:is>
      </x:c>
      <x:c r="B255" t="inlineStr">
        <x:is>
          <x:t xml:space="preserve">TOK_C_1</x:t>
        </x:is>
      </x:c>
      <x:c r="C255" t="n">
        <x:v>1</x:v>
      </x:c>
    </x:row>
    <x:row r="256">
      <x:c r="A256" t="inlineStr">
        <x:is>
          <x:t xml:space="preserve">P03</x:t>
        </x:is>
      </x:c>
      <x:c r="B256" t="inlineStr">
        <x:is>
          <x:t xml:space="preserve">TOK_C_2</x:t>
        </x:is>
      </x:c>
      <x:c r="C256" t="n">
        <x:v>1</x:v>
      </x:c>
    </x:row>
    <x:row r="257">
      <x:c r="A257" t="inlineStr">
        <x:is>
          <x:t xml:space="preserve">P03</x:t>
        </x:is>
      </x:c>
      <x:c r="B257" t="inlineStr">
        <x:is>
          <x:t xml:space="preserve">TOK_C_3</x:t>
        </x:is>
      </x:c>
      <x:c r="C257" t="n">
        <x:v>1</x:v>
      </x:c>
    </x:row>
    <x:row r="258">
      <x:c r="A258" t="inlineStr">
        <x:is>
          <x:t xml:space="preserve">P03</x:t>
        </x:is>
      </x:c>
      <x:c r="B258" t="inlineStr">
        <x:is>
          <x:t xml:space="preserve">TOK_S_1</x:t>
        </x:is>
      </x:c>
      <x:c r="C258" t="n">
        <x:v>1</x:v>
      </x:c>
    </x:row>
    <x:row r="259">
      <x:c r="A259" t="inlineStr">
        <x:is>
          <x:t xml:space="preserve">P03</x:t>
        </x:is>
      </x:c>
      <x:c r="B259" t="inlineStr">
        <x:is>
          <x:t xml:space="preserve">TOK_S_2</x:t>
        </x:is>
      </x:c>
      <x:c r="C259" t="n">
        <x:v>1</x:v>
      </x:c>
    </x:row>
    <x:row r="260">
      <x:c r="A260" t="inlineStr">
        <x:is>
          <x:t xml:space="preserve">P03</x:t>
        </x:is>
      </x:c>
      <x:c r="B260" t="inlineStr">
        <x:is>
          <x:t xml:space="preserve">TOK_S_3</x:t>
        </x:is>
      </x:c>
      <x:c r="C260" t="n">
        <x:v>1</x:v>
      </x:c>
    </x:row>
    <x:row r="261">
      <x:c r="A261" t="inlineStr">
        <x:is>
          <x:t xml:space="preserve">P03</x:t>
        </x:is>
      </x:c>
      <x:c r="B261" t="inlineStr">
        <x:is>
          <x:t xml:space="preserve">TOK_T_1</x:t>
        </x:is>
      </x:c>
      <x:c r="C261" t="n">
        <x:v>1</x:v>
      </x:c>
    </x:row>
    <x:row r="262">
      <x:c r="A262" t="inlineStr">
        <x:is>
          <x:t xml:space="preserve">P03</x:t>
        </x:is>
      </x:c>
      <x:c r="B262" t="inlineStr">
        <x:is>
          <x:t xml:space="preserve">TOK_T_2</x:t>
        </x:is>
      </x:c>
      <x:c r="C262" t="n">
        <x:v>1</x:v>
      </x:c>
    </x:row>
    <x:row r="263">
      <x:c r="A263" t="inlineStr">
        <x:is>
          <x:t xml:space="preserve">P03</x:t>
        </x:is>
      </x:c>
      <x:c r="B263" t="inlineStr">
        <x:is>
          <x:t xml:space="preserve">TOK_T_3</x:t>
        </x:is>
      </x:c>
      <x:c r="C263" t="n">
        <x:v>1</x:v>
      </x:c>
    </x:row>
    <x:row r="264">
      <x:c r="A264" t="inlineStr">
        <x:is>
          <x:t xml:space="preserve">P03</x:t>
        </x:is>
      </x:c>
      <x:c r="B264" t="inlineStr">
        <x:is>
          <x:t xml:space="preserve">TOK_T_4</x:t>
        </x:is>
      </x:c>
      <x:c r="C264" t="n">
        <x:v>1</x:v>
      </x:c>
    </x:row>
    <x:row r="265">
      <x:c r="A265" t="inlineStr">
        <x:is>
          <x:t xml:space="preserve">P03</x:t>
        </x:is>
      </x:c>
      <x:c r="B265" t="inlineStr">
        <x:is>
          <x:t xml:space="preserve">V1_1_1</x:t>
        </x:is>
      </x:c>
      <x:c r="C265" t="n">
        <x:v>1</x:v>
      </x:c>
    </x:row>
    <x:row r="266">
      <x:c r="A266" t="inlineStr">
        <x:is>
          <x:t xml:space="preserve">P03</x:t>
        </x:is>
      </x:c>
      <x:c r="B266" t="inlineStr">
        <x:is>
          <x:t xml:space="preserve">V1_2_3</x:t>
        </x:is>
      </x:c>
      <x:c r="C266" t="n">
        <x:v>1</x:v>
      </x:c>
    </x:row>
    <x:row r="267">
      <x:c r="A267" t="inlineStr">
        <x:is>
          <x:t xml:space="preserve">P03</x:t>
        </x:is>
      </x:c>
      <x:c r="B267" t="inlineStr">
        <x:is>
          <x:t xml:space="preserve">V1_3_4</x:t>
        </x:is>
      </x:c>
      <x:c r="C267" t="n">
        <x:v>1</x:v>
      </x:c>
    </x:row>
    <x:row r="268">
      <x:c r="A268" t="inlineStr">
        <x:is>
          <x:t xml:space="preserve">P03</x:t>
        </x:is>
      </x:c>
      <x:c r="B268" t="inlineStr">
        <x:is>
          <x:t xml:space="preserve">V2_1_2</x:t>
        </x:is>
      </x:c>
      <x:c r="C268" t="n">
        <x:v>1</x:v>
      </x:c>
    </x:row>
    <x:row r="269">
      <x:c r="A269" t="inlineStr">
        <x:is>
          <x:t xml:space="preserve">P03</x:t>
        </x:is>
      </x:c>
      <x:c r="B269" t="inlineStr">
        <x:is>
          <x:t xml:space="preserve">V2_2_3</x:t>
        </x:is>
      </x:c>
      <x:c r="C269" t="n">
        <x:v>1</x:v>
      </x:c>
    </x:row>
    <x:row r="270">
      <x:c r="A270" t="inlineStr">
        <x:is>
          <x:t xml:space="preserve">P03</x:t>
        </x:is>
      </x:c>
      <x:c r="B270" t="inlineStr">
        <x:is>
          <x:t xml:space="preserve">V2_3_5</x:t>
        </x:is>
      </x:c>
      <x:c r="C270" t="n">
        <x:v>1</x:v>
      </x:c>
    </x:row>
    <x:row r="271">
      <x:c r="A271" t="inlineStr">
        <x:is>
          <x:t xml:space="preserve">P03</x:t>
        </x:is>
      </x:c>
      <x:c r="B271" t="inlineStr">
        <x:is>
          <x:t xml:space="preserve">COMMENTO</x:t>
        </x:is>
      </x:c>
      <x:c r="C271" t="inlineStr">
        <x:is>
          <x:t xml:space="preserve">…………………………</x:t>
        </x:is>
      </x:c>
    </x:row>
    <x:row r="272">
      <x:c r="A272" t="inlineStr">
        <x:is>
          <x:t xml:space="preserve">P03</x:t>
        </x:is>
      </x:c>
      <x:c r="B272" t="inlineStr">
        <x:is>
          <x:t xml:space="preserve">T_FINE</x:t>
        </x:is>
      </x:c>
      <x:c r="C272" t="inlineStr">
        <x:is>
          <x:t xml:space="preserve">hh:mm</x:t>
        </x:is>
      </x:c>
    </x:row>
    <x:row r="273">
      <x:c r="A273" t="inlineStr">
        <x:is>
          <x:t xml:space="preserve">P03</x:t>
        </x:is>
      </x:c>
      <x:c r="B273" t="inlineStr">
        <x:is>
          <x:t xml:space="preserve">T_INIZIO</x:t>
        </x:is>
      </x:c>
      <x:c r="C273" t="inlineStr">
        <x:is>
          <x:t xml:space="preserve">hh:mm</x:t>
        </x:is>
      </x:c>
    </x:row>
    <x:row r="274">
      <x:c r="A274" t="inlineStr">
        <x:is>
          <x:t xml:space="preserve">P04</x:t>
        </x:is>
      </x:c>
      <x:c r="B274" t="inlineStr">
        <x:is>
          <x:t xml:space="preserve">ADESIONE_1</x:t>
        </x:is>
      </x:c>
      <x:c r="C274" t="n">
        <x:v>1</x:v>
      </x:c>
    </x:row>
    <x:row r="275">
      <x:c r="A275" t="inlineStr">
        <x:is>
          <x:t xml:space="preserve">P04</x:t>
        </x:is>
      </x:c>
      <x:c r="B275" t="inlineStr">
        <x:is>
          <x:t xml:space="preserve">C1_D1_4</x:t>
        </x:is>
      </x:c>
      <x:c r="C275" t="n">
        <x:v>1</x:v>
      </x:c>
    </x:row>
    <x:row r="276">
      <x:c r="A276" t="inlineStr">
        <x:is>
          <x:t xml:space="preserve">P04</x:t>
        </x:is>
      </x:c>
      <x:c r="B276" t="inlineStr">
        <x:is>
          <x:t xml:space="preserve">C1_D2_8</x:t>
        </x:is>
      </x:c>
      <x:c r="C276" t="n">
        <x:v>1</x:v>
      </x:c>
    </x:row>
    <x:row r="277">
      <x:c r="A277" t="inlineStr">
        <x:is>
          <x:t xml:space="preserve">P04</x:t>
        </x:is>
      </x:c>
      <x:c r="B277" t="inlineStr">
        <x:is>
          <x:t xml:space="preserve">C1_D3_6</x:t>
        </x:is>
      </x:c>
      <x:c r="C277" t="n">
        <x:v>1</x:v>
      </x:c>
    </x:row>
    <x:row r="278">
      <x:c r="A278" t="inlineStr">
        <x:is>
          <x:t xml:space="preserve">P04</x:t>
        </x:is>
      </x:c>
      <x:c r="B278" t="inlineStr">
        <x:is>
          <x:t xml:space="preserve">C1_D3_8</x:t>
        </x:is>
      </x:c>
      <x:c r="C278" t="n">
        <x:v>1</x:v>
      </x:c>
    </x:row>
    <x:row r="279">
      <x:c r="A279" t="inlineStr">
        <x:is>
          <x:t xml:space="preserve">P04</x:t>
        </x:is>
      </x:c>
      <x:c r="B279" t="inlineStr">
        <x:is>
          <x:t xml:space="preserve">C1_D4_10</x:t>
        </x:is>
      </x:c>
      <x:c r="C279" t="n">
        <x:v>1</x:v>
      </x:c>
    </x:row>
    <x:row r="280">
      <x:c r="A280" t="inlineStr">
        <x:is>
          <x:t xml:space="preserve">P04</x:t>
        </x:is>
      </x:c>
      <x:c r="B280" t="inlineStr">
        <x:is>
          <x:t xml:space="preserve">C1_D5_5</x:t>
        </x:is>
      </x:c>
      <x:c r="C280" t="n">
        <x:v>1</x:v>
      </x:c>
    </x:row>
    <x:row r="281">
      <x:c r="A281" t="inlineStr">
        <x:is>
          <x:t xml:space="preserve">P04</x:t>
        </x:is>
      </x:c>
      <x:c r="B281" t="inlineStr">
        <x:is>
          <x:t xml:space="preserve">C1_L1_4</x:t>
        </x:is>
      </x:c>
      <x:c r="C281" t="n">
        <x:v>1</x:v>
      </x:c>
    </x:row>
    <x:row r="282">
      <x:c r="A282" t="inlineStr">
        <x:is>
          <x:t xml:space="preserve">P04</x:t>
        </x:is>
      </x:c>
      <x:c r="B282" t="inlineStr">
        <x:is>
          <x:t xml:space="preserve">C1_L2_2</x:t>
        </x:is>
      </x:c>
      <x:c r="C282" t="n">
        <x:v>1</x:v>
      </x:c>
    </x:row>
    <x:row r="283">
      <x:c r="A283" t="inlineStr">
        <x:is>
          <x:t xml:space="preserve">P04</x:t>
        </x:is>
      </x:c>
      <x:c r="B283" t="inlineStr">
        <x:is>
          <x:t xml:space="preserve">C1_L3_2</x:t>
        </x:is>
      </x:c>
      <x:c r="C283" t="n">
        <x:v>1</x:v>
      </x:c>
    </x:row>
    <x:row r="284">
      <x:c r="A284" t="inlineStr">
        <x:is>
          <x:t xml:space="preserve">P04</x:t>
        </x:is>
      </x:c>
      <x:c r="B284" t="inlineStr">
        <x:is>
          <x:t xml:space="preserve">C2_D1_4</x:t>
        </x:is>
      </x:c>
      <x:c r="C284" t="n">
        <x:v>1</x:v>
      </x:c>
    </x:row>
    <x:row r="285">
      <x:c r="A285" t="inlineStr">
        <x:is>
          <x:t xml:space="preserve">P04</x:t>
        </x:is>
      </x:c>
      <x:c r="B285" t="inlineStr">
        <x:is>
          <x:t xml:space="preserve">C2_D2_7</x:t>
        </x:is>
      </x:c>
      <x:c r="C285" t="n">
        <x:v>1</x:v>
      </x:c>
    </x:row>
    <x:row r="286">
      <x:c r="A286" t="inlineStr">
        <x:is>
          <x:t xml:space="preserve">P04</x:t>
        </x:is>
      </x:c>
      <x:c r="B286" t="inlineStr">
        <x:is>
          <x:t xml:space="preserve">C2_D3_7</x:t>
        </x:is>
      </x:c>
      <x:c r="C286" t="n">
        <x:v>1</x:v>
      </x:c>
    </x:row>
    <x:row r="287">
      <x:c r="A287" t="inlineStr">
        <x:is>
          <x:t xml:space="preserve">P04</x:t>
        </x:is>
      </x:c>
      <x:c r="B287" t="inlineStr">
        <x:is>
          <x:t xml:space="preserve">C2_D4_10</x:t>
        </x:is>
      </x:c>
      <x:c r="C287" t="n">
        <x:v>1</x:v>
      </x:c>
    </x:row>
    <x:row r="288">
      <x:c r="A288" t="inlineStr">
        <x:is>
          <x:t xml:space="preserve">P04</x:t>
        </x:is>
      </x:c>
      <x:c r="B288" t="inlineStr">
        <x:is>
          <x:t xml:space="preserve">C2_D5_5</x:t>
        </x:is>
      </x:c>
      <x:c r="C288" t="n">
        <x:v>1</x:v>
      </x:c>
    </x:row>
    <x:row r="289">
      <x:c r="A289" t="inlineStr">
        <x:is>
          <x:t xml:space="preserve">P04</x:t>
        </x:is>
      </x:c>
      <x:c r="B289" t="inlineStr">
        <x:is>
          <x:t xml:space="preserve">C2_L1_5</x:t>
        </x:is>
      </x:c>
      <x:c r="C289" t="n">
        <x:v>1</x:v>
      </x:c>
    </x:row>
    <x:row r="290">
      <x:c r="A290" t="inlineStr">
        <x:is>
          <x:t xml:space="preserve">P04</x:t>
        </x:is>
      </x:c>
      <x:c r="B290" t="inlineStr">
        <x:is>
          <x:t xml:space="preserve">C2_L2_3</x:t>
        </x:is>
      </x:c>
      <x:c r="C290" t="n">
        <x:v>1</x:v>
      </x:c>
    </x:row>
    <x:row r="291">
      <x:c r="A291" t="inlineStr">
        <x:is>
          <x:t xml:space="preserve">P04</x:t>
        </x:is>
      </x:c>
      <x:c r="B291" t="inlineStr">
        <x:is>
          <x:t xml:space="preserve">C2_L3_2</x:t>
        </x:is>
      </x:c>
      <x:c r="C291" t="n">
        <x:v>1</x:v>
      </x:c>
    </x:row>
    <x:row r="292">
      <x:c r="A292" t="inlineStr">
        <x:is>
          <x:t xml:space="preserve">P04</x:t>
        </x:is>
      </x:c>
      <x:c r="B292" t="inlineStr">
        <x:is>
          <x:t xml:space="preserve">C3_D1_1</x:t>
        </x:is>
      </x:c>
      <x:c r="C292" t="n">
        <x:v>1</x:v>
      </x:c>
    </x:row>
    <x:row r="293">
      <x:c r="A293" t="inlineStr">
        <x:is>
          <x:t xml:space="preserve">P04</x:t>
        </x:is>
      </x:c>
      <x:c r="B293" t="inlineStr">
        <x:is>
          <x:t xml:space="preserve">C3_D2_2</x:t>
        </x:is>
      </x:c>
      <x:c r="C293" t="n">
        <x:v>1</x:v>
      </x:c>
    </x:row>
    <x:row r="294">
      <x:c r="A294" t="inlineStr">
        <x:is>
          <x:t xml:space="preserve">P04</x:t>
        </x:is>
      </x:c>
      <x:c r="B294" t="inlineStr">
        <x:is>
          <x:t xml:space="preserve">C3_D3_7</x:t>
        </x:is>
      </x:c>
      <x:c r="C294" t="n">
        <x:v>1</x:v>
      </x:c>
    </x:row>
    <x:row r="295">
      <x:c r="A295" t="inlineStr">
        <x:is>
          <x:t xml:space="preserve">P04</x:t>
        </x:is>
      </x:c>
      <x:c r="B295" t="inlineStr">
        <x:is>
          <x:t xml:space="preserve">C3_D4_9</x:t>
        </x:is>
      </x:c>
      <x:c r="C295" t="n">
        <x:v>1</x:v>
      </x:c>
    </x:row>
    <x:row r="296">
      <x:c r="A296" t="inlineStr">
        <x:is>
          <x:t xml:space="preserve">P04</x:t>
        </x:is>
      </x:c>
      <x:c r="B296" t="inlineStr">
        <x:is>
          <x:t xml:space="preserve">C3_D5_6</x:t>
        </x:is>
      </x:c>
      <x:c r="C296" t="n">
        <x:v>1</x:v>
      </x:c>
    </x:row>
    <x:row r="297">
      <x:c r="A297" t="inlineStr">
        <x:is>
          <x:t xml:space="preserve">P04</x:t>
        </x:is>
      </x:c>
      <x:c r="B297" t="inlineStr">
        <x:is>
          <x:t xml:space="preserve">C3_L1_2</x:t>
        </x:is>
      </x:c>
      <x:c r="C297" t="n">
        <x:v>1</x:v>
      </x:c>
    </x:row>
    <x:row r="298">
      <x:c r="A298" t="inlineStr">
        <x:is>
          <x:t xml:space="preserve">P04</x:t>
        </x:is>
      </x:c>
      <x:c r="B298" t="inlineStr">
        <x:is>
          <x:t xml:space="preserve">C3_L2_3</x:t>
        </x:is>
      </x:c>
      <x:c r="C298" t="n">
        <x:v>1</x:v>
      </x:c>
    </x:row>
    <x:row r="299">
      <x:c r="A299" t="inlineStr">
        <x:is>
          <x:t xml:space="preserve">P04</x:t>
        </x:is>
      </x:c>
      <x:c r="B299" t="inlineStr">
        <x:is>
          <x:t xml:space="preserve">C3_L3_1</x:t>
        </x:is>
      </x:c>
      <x:c r="C299" t="n">
        <x:v>1</x:v>
      </x:c>
    </x:row>
    <x:row r="300">
      <x:c r="A300" t="inlineStr">
        <x:is>
          <x:t xml:space="preserve">P04</x:t>
        </x:is>
      </x:c>
      <x:c r="B300" t="inlineStr">
        <x:is>
          <x:t xml:space="preserve">C4_D1_2</x:t>
        </x:is>
      </x:c>
      <x:c r="C300" t="n">
        <x:v>1</x:v>
      </x:c>
    </x:row>
    <x:row r="301">
      <x:c r="A301" t="inlineStr">
        <x:is>
          <x:t xml:space="preserve">P04</x:t>
        </x:is>
      </x:c>
      <x:c r="B301" t="inlineStr">
        <x:is>
          <x:t xml:space="preserve">C4_D2_2</x:t>
        </x:is>
      </x:c>
      <x:c r="C301" t="n">
        <x:v>1</x:v>
      </x:c>
    </x:row>
    <x:row r="302">
      <x:c r="A302" t="inlineStr">
        <x:is>
          <x:t xml:space="preserve">P04</x:t>
        </x:is>
      </x:c>
      <x:c r="B302" t="inlineStr">
        <x:is>
          <x:t xml:space="preserve">C4_D3_7</x:t>
        </x:is>
      </x:c>
      <x:c r="C302" t="n">
        <x:v>1</x:v>
      </x:c>
    </x:row>
    <x:row r="303">
      <x:c r="A303" t="inlineStr">
        <x:is>
          <x:t xml:space="preserve">P04</x:t>
        </x:is>
      </x:c>
      <x:c r="B303" t="inlineStr">
        <x:is>
          <x:t xml:space="preserve">C4_D4_9</x:t>
        </x:is>
      </x:c>
      <x:c r="C303" t="n">
        <x:v>1</x:v>
      </x:c>
    </x:row>
    <x:row r="304">
      <x:c r="A304" t="inlineStr">
        <x:is>
          <x:t xml:space="preserve">P04</x:t>
        </x:is>
      </x:c>
      <x:c r="B304" t="inlineStr">
        <x:is>
          <x:t xml:space="preserve">C4_D5_5</x:t>
        </x:is>
      </x:c>
      <x:c r="C304" t="n">
        <x:v>1</x:v>
      </x:c>
    </x:row>
    <x:row r="305">
      <x:c r="A305" t="inlineStr">
        <x:is>
          <x:t xml:space="preserve">P04</x:t>
        </x:is>
      </x:c>
      <x:c r="B305" t="inlineStr">
        <x:is>
          <x:t xml:space="preserve">C4_L1_2</x:t>
        </x:is>
      </x:c>
      <x:c r="C305" t="n">
        <x:v>1</x:v>
      </x:c>
    </x:row>
    <x:row r="306">
      <x:c r="A306" t="inlineStr">
        <x:is>
          <x:t xml:space="preserve">P04</x:t>
        </x:is>
      </x:c>
      <x:c r="B306" t="inlineStr">
        <x:is>
          <x:t xml:space="preserve">C4_L2_4</x:t>
        </x:is>
      </x:c>
      <x:c r="C306" t="n">
        <x:v>1</x:v>
      </x:c>
    </x:row>
    <x:row r="307">
      <x:c r="A307" t="inlineStr">
        <x:is>
          <x:t xml:space="preserve">P04</x:t>
        </x:is>
      </x:c>
      <x:c r="B307" t="inlineStr">
        <x:is>
          <x:t xml:space="preserve">C4_L3_4</x:t>
        </x:is>
      </x:c>
      <x:c r="C307" t="n">
        <x:v>1</x:v>
      </x:c>
    </x:row>
    <x:row r="308">
      <x:c r="A308" t="inlineStr">
        <x:is>
          <x:t xml:space="preserve">P04</x:t>
        </x:is>
      </x:c>
      <x:c r="B308" t="inlineStr">
        <x:is>
          <x:t xml:space="preserve">C5_D1_6</x:t>
        </x:is>
      </x:c>
      <x:c r="C308" t="n">
        <x:v>1</x:v>
      </x:c>
    </x:row>
    <x:row r="309">
      <x:c r="A309" t="inlineStr">
        <x:is>
          <x:t xml:space="preserve">P04</x:t>
        </x:is>
      </x:c>
      <x:c r="B309" t="inlineStr">
        <x:is>
          <x:t xml:space="preserve">C5_D2_8</x:t>
        </x:is>
      </x:c>
      <x:c r="C309" t="n">
        <x:v>1</x:v>
      </x:c>
    </x:row>
    <x:row r="310">
      <x:c r="A310" t="inlineStr">
        <x:is>
          <x:t xml:space="preserve">P04</x:t>
        </x:is>
      </x:c>
      <x:c r="B310" t="inlineStr">
        <x:is>
          <x:t xml:space="preserve">C5_D3_7</x:t>
        </x:is>
      </x:c>
      <x:c r="C310" t="n">
        <x:v>1</x:v>
      </x:c>
    </x:row>
    <x:row r="311">
      <x:c r="A311" t="inlineStr">
        <x:is>
          <x:t xml:space="preserve">P04</x:t>
        </x:is>
      </x:c>
      <x:c r="B311" t="inlineStr">
        <x:is>
          <x:t xml:space="preserve">C5_D3_8</x:t>
        </x:is>
      </x:c>
      <x:c r="C311" t="n">
        <x:v>1</x:v>
      </x:c>
    </x:row>
    <x:row r="312">
      <x:c r="A312" t="inlineStr">
        <x:is>
          <x:t xml:space="preserve">P04</x:t>
        </x:is>
      </x:c>
      <x:c r="B312" t="inlineStr">
        <x:is>
          <x:t xml:space="preserve">C5_D4_10</x:t>
        </x:is>
      </x:c>
      <x:c r="C312" t="n">
        <x:v>1</x:v>
      </x:c>
    </x:row>
    <x:row r="313">
      <x:c r="A313" t="inlineStr">
        <x:is>
          <x:t xml:space="preserve">P04</x:t>
        </x:is>
      </x:c>
      <x:c r="B313" t="inlineStr">
        <x:is>
          <x:t xml:space="preserve">C5_D5_7</x:t>
        </x:is>
      </x:c>
      <x:c r="C313" t="n">
        <x:v>1</x:v>
      </x:c>
    </x:row>
    <x:row r="314">
      <x:c r="A314" t="inlineStr">
        <x:is>
          <x:t xml:space="preserve">P04</x:t>
        </x:is>
      </x:c>
      <x:c r="B314" t="inlineStr">
        <x:is>
          <x:t xml:space="preserve">C5_L1_6</x:t>
        </x:is>
      </x:c>
      <x:c r="C314" t="n">
        <x:v>1</x:v>
      </x:c>
    </x:row>
    <x:row r="315">
      <x:c r="A315" t="inlineStr">
        <x:is>
          <x:t xml:space="preserve">P04</x:t>
        </x:is>
      </x:c>
      <x:c r="B315" t="inlineStr">
        <x:is>
          <x:t xml:space="preserve">C5_L2_3</x:t>
        </x:is>
      </x:c>
      <x:c r="C315" t="n">
        <x:v>1</x:v>
      </x:c>
    </x:row>
    <x:row r="316">
      <x:c r="A316" t="inlineStr">
        <x:is>
          <x:t xml:space="preserve">P04</x:t>
        </x:is>
      </x:c>
      <x:c r="B316" t="inlineStr">
        <x:is>
          <x:t xml:space="preserve">C5_L3_2</x:t>
        </x:is>
      </x:c>
      <x:c r="C316" t="n">
        <x:v>1</x:v>
      </x:c>
    </x:row>
    <x:row r="317">
      <x:c r="A317" t="inlineStr">
        <x:is>
          <x:t xml:space="preserve">P04</x:t>
        </x:is>
      </x:c>
      <x:c r="B317" t="inlineStr">
        <x:is>
          <x:t xml:space="preserve">F1_2</x:t>
        </x:is>
      </x:c>
      <x:c r="C317" t="n">
        <x:v>1</x:v>
      </x:c>
    </x:row>
    <x:row r="318">
      <x:c r="A318" t="inlineStr">
        <x:is>
          <x:t xml:space="preserve">P04</x:t>
        </x:is>
      </x:c>
      <x:c r="B318" t="inlineStr">
        <x:is>
          <x:t xml:space="preserve">F2_3</x:t>
        </x:is>
      </x:c>
      <x:c r="C318" t="n">
        <x:v>1</x:v>
      </x:c>
    </x:row>
    <x:row r="319">
      <x:c r="A319" t="inlineStr">
        <x:is>
          <x:t xml:space="preserve">P04</x:t>
        </x:is>
      </x:c>
      <x:c r="B319" t="inlineStr">
        <x:is>
          <x:t xml:space="preserve">F2_4</x:t>
        </x:is>
      </x:c>
      <x:c r="C319" t="n">
        <x:v>1</x:v>
      </x:c>
    </x:row>
    <x:row r="320">
      <x:c r="A320" t="inlineStr">
        <x:is>
          <x:t xml:space="preserve">P04</x:t>
        </x:is>
      </x:c>
      <x:c r="B320" t="inlineStr">
        <x:is>
          <x:t xml:space="preserve">G1_5</x:t>
        </x:is>
      </x:c>
      <x:c r="C320" t="n">
        <x:v>1</x:v>
      </x:c>
    </x:row>
    <x:row r="321">
      <x:c r="A321" t="inlineStr">
        <x:is>
          <x:t xml:space="preserve">P04</x:t>
        </x:is>
      </x:c>
      <x:c r="B321" t="inlineStr">
        <x:is>
          <x:t xml:space="preserve">G2_5</x:t>
        </x:is>
      </x:c>
      <x:c r="C321" t="n">
        <x:v>1</x:v>
      </x:c>
    </x:row>
    <x:row r="322">
      <x:c r="A322" t="inlineStr">
        <x:is>
          <x:t xml:space="preserve">P04</x:t>
        </x:is>
      </x:c>
      <x:c r="B322" t="inlineStr">
        <x:is>
          <x:t xml:space="preserve">G3_4</x:t>
        </x:is>
      </x:c>
      <x:c r="C322" t="n">
        <x:v>1</x:v>
      </x:c>
    </x:row>
    <x:row r="323">
      <x:c r="A323" t="inlineStr">
        <x:is>
          <x:t xml:space="preserve">P04</x:t>
        </x:is>
      </x:c>
      <x:c r="B323" t="inlineStr">
        <x:is>
          <x:t xml:space="preserve">G4_4</x:t>
        </x:is>
      </x:c>
      <x:c r="C323" t="n">
        <x:v>1</x:v>
      </x:c>
    </x:row>
    <x:row r="324">
      <x:c r="A324" t="inlineStr">
        <x:is>
          <x:t xml:space="preserve">P04</x:t>
        </x:is>
      </x:c>
      <x:c r="B324" t="inlineStr">
        <x:is>
          <x:t xml:space="preserve">G5_5</x:t>
        </x:is>
      </x:c>
      <x:c r="C324" t="n">
        <x:v>1</x:v>
      </x:c>
    </x:row>
    <x:row r="325">
      <x:c r="A325" t="inlineStr">
        <x:is>
          <x:t xml:space="preserve">P04</x:t>
        </x:is>
      </x:c>
      <x:c r="B325" t="inlineStr">
        <x:is>
          <x:t xml:space="preserve">G6_3</x:t>
        </x:is>
      </x:c>
      <x:c r="C325" t="n">
        <x:v>1</x:v>
      </x:c>
    </x:row>
    <x:row r="326">
      <x:c r="A326" t="inlineStr">
        <x:is>
          <x:t xml:space="preserve">P04</x:t>
        </x:is>
      </x:c>
      <x:c r="B326" t="inlineStr">
        <x:is>
          <x:t xml:space="preserve">G7_5</x:t>
        </x:is>
      </x:c>
      <x:c r="C326" t="n">
        <x:v>1</x:v>
      </x:c>
    </x:row>
    <x:row r="327">
      <x:c r="A327" t="inlineStr">
        <x:is>
          <x:t xml:space="preserve">P04</x:t>
        </x:is>
      </x:c>
      <x:c r="B327" t="inlineStr">
        <x:is>
          <x:t xml:space="preserve">P0A_3</x:t>
        </x:is>
      </x:c>
      <x:c r="C327" t="n">
        <x:v>1</x:v>
      </x:c>
    </x:row>
    <x:row r="328">
      <x:c r="A328" t="inlineStr">
        <x:is>
          <x:t xml:space="preserve">P04</x:t>
        </x:is>
      </x:c>
      <x:c r="B328" t="inlineStr">
        <x:is>
          <x:t xml:space="preserve">P0B_1</x:t>
        </x:is>
      </x:c>
      <x:c r="C328" t="n">
        <x:v>1</x:v>
      </x:c>
    </x:row>
    <x:row r="329">
      <x:c r="A329" t="inlineStr">
        <x:is>
          <x:t xml:space="preserve">P04</x:t>
        </x:is>
      </x:c>
      <x:c r="B329" t="inlineStr">
        <x:is>
          <x:t xml:space="preserve">P0C_1</x:t>
        </x:is>
      </x:c>
      <x:c r="C329" t="n">
        <x:v>1</x:v>
      </x:c>
    </x:row>
    <x:row r="330">
      <x:c r="A330" t="inlineStr">
        <x:is>
          <x:t xml:space="preserve">P04</x:t>
        </x:is>
      </x:c>
      <x:c r="B330" t="inlineStr">
        <x:is>
          <x:t xml:space="preserve">PROF_1</x:t>
        </x:is>
      </x:c>
      <x:c r="C330" t="n">
        <x:v>1</x:v>
      </x:c>
    </x:row>
    <x:row r="331">
      <x:c r="A331" t="inlineStr">
        <x:is>
          <x:t xml:space="preserve">P04</x:t>
        </x:is>
      </x:c>
      <x:c r="B331" t="inlineStr">
        <x:is>
          <x:t xml:space="preserve">Q1_2</x:t>
        </x:is>
      </x:c>
      <x:c r="C331" t="n">
        <x:v>1</x:v>
      </x:c>
    </x:row>
    <x:row r="332">
      <x:c r="A332" t="inlineStr">
        <x:is>
          <x:t xml:space="preserve">P04</x:t>
        </x:is>
      </x:c>
      <x:c r="B332" t="inlineStr">
        <x:is>
          <x:t xml:space="preserve">Q2_1</x:t>
        </x:is>
      </x:c>
      <x:c r="C332" t="n">
        <x:v>1</x:v>
      </x:c>
    </x:row>
    <x:row r="333">
      <x:c r="A333" t="inlineStr">
        <x:is>
          <x:t xml:space="preserve">P04</x:t>
        </x:is>
      </x:c>
      <x:c r="B333" t="inlineStr">
        <x:is>
          <x:t xml:space="preserve">Q3_2</x:t>
        </x:is>
      </x:c>
      <x:c r="C333" t="n">
        <x:v>1</x:v>
      </x:c>
    </x:row>
    <x:row r="334">
      <x:c r="A334" t="inlineStr">
        <x:is>
          <x:t xml:space="preserve">P04</x:t>
        </x:is>
      </x:c>
      <x:c r="B334" t="inlineStr">
        <x:is>
          <x:t xml:space="preserve">Q4_2</x:t>
        </x:is>
      </x:c>
      <x:c r="C334" t="n">
        <x:v>1</x:v>
      </x:c>
    </x:row>
    <x:row r="335">
      <x:c r="A335" t="inlineStr">
        <x:is>
          <x:t xml:space="preserve">P04</x:t>
        </x:is>
      </x:c>
      <x:c r="B335" t="inlineStr">
        <x:is>
          <x:t xml:space="preserve">Q5_2</x:t>
        </x:is>
      </x:c>
      <x:c r="C335" t="n">
        <x:v>1</x:v>
      </x:c>
    </x:row>
    <x:row r="336">
      <x:c r="A336" t="inlineStr">
        <x:is>
          <x:t xml:space="preserve">P04</x:t>
        </x:is>
      </x:c>
      <x:c r="B336" t="inlineStr">
        <x:is>
          <x:t xml:space="preserve">S10_2</x:t>
        </x:is>
      </x:c>
      <x:c r="C336" t="n">
        <x:v>1</x:v>
      </x:c>
    </x:row>
    <x:row r="337">
      <x:c r="A337" t="inlineStr">
        <x:is>
          <x:t xml:space="preserve">P04</x:t>
        </x:is>
      </x:c>
      <x:c r="B337" t="inlineStr">
        <x:is>
          <x:t xml:space="preserve">S2_1</x:t>
        </x:is>
      </x:c>
      <x:c r="C337" t="n">
        <x:v>1</x:v>
      </x:c>
    </x:row>
    <x:row r="338">
      <x:c r="A338" t="inlineStr">
        <x:is>
          <x:t xml:space="preserve">P04</x:t>
        </x:is>
      </x:c>
      <x:c r="B338" t="inlineStr">
        <x:is>
          <x:t xml:space="preserve">S3_5</x:t>
        </x:is>
      </x:c>
      <x:c r="C338" t="n">
        <x:v>1</x:v>
      </x:c>
    </x:row>
    <x:row r="339">
      <x:c r="A339" t="inlineStr">
        <x:is>
          <x:t xml:space="preserve">P04</x:t>
        </x:is>
      </x:c>
      <x:c r="B339" t="inlineStr">
        <x:is>
          <x:t xml:space="preserve">S4_2</x:t>
        </x:is>
      </x:c>
      <x:c r="C339" t="n">
        <x:v>1</x:v>
      </x:c>
    </x:row>
    <x:row r="340">
      <x:c r="A340" t="inlineStr">
        <x:is>
          <x:t xml:space="preserve">P04</x:t>
        </x:is>
      </x:c>
      <x:c r="B340" t="inlineStr">
        <x:is>
          <x:t xml:space="preserve">S5_5</x:t>
        </x:is>
      </x:c>
      <x:c r="C340" t="n">
        <x:v>1</x:v>
      </x:c>
    </x:row>
    <x:row r="341">
      <x:c r="A341" t="inlineStr">
        <x:is>
          <x:t xml:space="preserve">P04</x:t>
        </x:is>
      </x:c>
      <x:c r="B341" t="inlineStr">
        <x:is>
          <x:t xml:space="preserve">S6_1</x:t>
        </x:is>
      </x:c>
      <x:c r="C341" t="n">
        <x:v>1</x:v>
      </x:c>
    </x:row>
    <x:row r="342">
      <x:c r="A342" t="inlineStr">
        <x:is>
          <x:t xml:space="preserve">P04</x:t>
        </x:is>
      </x:c>
      <x:c r="B342" t="inlineStr">
        <x:is>
          <x:t xml:space="preserve">S7_3</x:t>
        </x:is>
      </x:c>
      <x:c r="C342" t="n">
        <x:v>1</x:v>
      </x:c>
    </x:row>
    <x:row r="343">
      <x:c r="A343" t="inlineStr">
        <x:is>
          <x:t xml:space="preserve">P04</x:t>
        </x:is>
      </x:c>
      <x:c r="B343" t="inlineStr">
        <x:is>
          <x:t xml:space="preserve">S8_1</x:t>
        </x:is>
      </x:c>
      <x:c r="C343" t="n">
        <x:v>1</x:v>
      </x:c>
    </x:row>
    <x:row r="344">
      <x:c r="A344" t="inlineStr">
        <x:is>
          <x:t xml:space="preserve">P04</x:t>
        </x:is>
      </x:c>
      <x:c r="B344" t="inlineStr">
        <x:is>
          <x:t xml:space="preserve">S9_5</x:t>
        </x:is>
      </x:c>
      <x:c r="C344" t="n">
        <x:v>1</x:v>
      </x:c>
    </x:row>
    <x:row r="345">
      <x:c r="A345" t="inlineStr">
        <x:is>
          <x:t xml:space="preserve">P04</x:t>
        </x:is>
      </x:c>
      <x:c r="B345" t="inlineStr">
        <x:is>
          <x:t xml:space="preserve">TOK_C_1</x:t>
        </x:is>
      </x:c>
      <x:c r="C345" t="n">
        <x:v>1</x:v>
      </x:c>
    </x:row>
    <x:row r="346">
      <x:c r="A346" t="inlineStr">
        <x:is>
          <x:t xml:space="preserve">P04</x:t>
        </x:is>
      </x:c>
      <x:c r="B346" t="inlineStr">
        <x:is>
          <x:t xml:space="preserve">TOK_C_2</x:t>
        </x:is>
      </x:c>
      <x:c r="C346" t="n">
        <x:v>1</x:v>
      </x:c>
    </x:row>
    <x:row r="347">
      <x:c r="A347" t="inlineStr">
        <x:is>
          <x:t xml:space="preserve">P04</x:t>
        </x:is>
      </x:c>
      <x:c r="B347" t="inlineStr">
        <x:is>
          <x:t xml:space="preserve">TOK_C_3</x:t>
        </x:is>
      </x:c>
      <x:c r="C347" t="n">
        <x:v>1</x:v>
      </x:c>
    </x:row>
    <x:row r="348">
      <x:c r="A348" t="inlineStr">
        <x:is>
          <x:t xml:space="preserve">P04</x:t>
        </x:is>
      </x:c>
      <x:c r="B348" t="inlineStr">
        <x:is>
          <x:t xml:space="preserve">TOK_C_4</x:t>
        </x:is>
      </x:c>
      <x:c r="C348" t="n">
        <x:v>1</x:v>
      </x:c>
    </x:row>
    <x:row r="349">
      <x:c r="A349" t="inlineStr">
        <x:is>
          <x:t xml:space="preserve">P04</x:t>
        </x:is>
      </x:c>
      <x:c r="B349" t="inlineStr">
        <x:is>
          <x:t xml:space="preserve">TOK_S_1</x:t>
        </x:is>
      </x:c>
      <x:c r="C349" t="n">
        <x:v>1</x:v>
      </x:c>
    </x:row>
    <x:row r="350">
      <x:c r="A350" t="inlineStr">
        <x:is>
          <x:t xml:space="preserve">P04</x:t>
        </x:is>
      </x:c>
      <x:c r="B350" t="inlineStr">
        <x:is>
          <x:t xml:space="preserve">TOK_S_2</x:t>
        </x:is>
      </x:c>
      <x:c r="C350" t="n">
        <x:v>1</x:v>
      </x:c>
    </x:row>
    <x:row r="351">
      <x:c r="A351" t="inlineStr">
        <x:is>
          <x:t xml:space="preserve">P04</x:t>
        </x:is>
      </x:c>
      <x:c r="B351" t="inlineStr">
        <x:is>
          <x:t xml:space="preserve">TOK_S_3</x:t>
        </x:is>
      </x:c>
      <x:c r="C351" t="n">
        <x:v>1</x:v>
      </x:c>
    </x:row>
    <x:row r="352">
      <x:c r="A352" t="inlineStr">
        <x:is>
          <x:t xml:space="preserve">P04</x:t>
        </x:is>
      </x:c>
      <x:c r="B352" t="inlineStr">
        <x:is>
          <x:t xml:space="preserve">TOK_T_1</x:t>
        </x:is>
      </x:c>
      <x:c r="C352" t="n">
        <x:v>1</x:v>
      </x:c>
    </x:row>
    <x:row r="353">
      <x:c r="A353" t="inlineStr">
        <x:is>
          <x:t xml:space="preserve">P04</x:t>
        </x:is>
      </x:c>
      <x:c r="B353" t="inlineStr">
        <x:is>
          <x:t xml:space="preserve">TOK_T_2</x:t>
        </x:is>
      </x:c>
      <x:c r="C353" t="n">
        <x:v>1</x:v>
      </x:c>
    </x:row>
    <x:row r="354">
      <x:c r="A354" t="inlineStr">
        <x:is>
          <x:t xml:space="preserve">P04</x:t>
        </x:is>
      </x:c>
      <x:c r="B354" t="inlineStr">
        <x:is>
          <x:t xml:space="preserve">TOK_T_3</x:t>
        </x:is>
      </x:c>
      <x:c r="C354" t="n">
        <x:v>1</x:v>
      </x:c>
    </x:row>
    <x:row r="355">
      <x:c r="A355" t="inlineStr">
        <x:is>
          <x:t xml:space="preserve">P04</x:t>
        </x:is>
      </x:c>
      <x:c r="B355" t="inlineStr">
        <x:is>
          <x:t xml:space="preserve">V1_1_2</x:t>
        </x:is>
      </x:c>
      <x:c r="C355" t="n">
        <x:v>1</x:v>
      </x:c>
    </x:row>
    <x:row r="356">
      <x:c r="A356" t="inlineStr">
        <x:is>
          <x:t xml:space="preserve">P04</x:t>
        </x:is>
      </x:c>
      <x:c r="B356" t="inlineStr">
        <x:is>
          <x:t xml:space="preserve">V1_2_3</x:t>
        </x:is>
      </x:c>
      <x:c r="C356" t="n">
        <x:v>1</x:v>
      </x:c>
    </x:row>
    <x:row r="357">
      <x:c r="A357" t="inlineStr">
        <x:is>
          <x:t xml:space="preserve">P04</x:t>
        </x:is>
      </x:c>
      <x:c r="B357" t="inlineStr">
        <x:is>
          <x:t xml:space="preserve">V1_3_4</x:t>
        </x:is>
      </x:c>
      <x:c r="C357" t="n">
        <x:v>1</x:v>
      </x:c>
    </x:row>
    <x:row r="358">
      <x:c r="A358" t="inlineStr">
        <x:is>
          <x:t xml:space="preserve">P04</x:t>
        </x:is>
      </x:c>
      <x:c r="B358" t="inlineStr">
        <x:is>
          <x:t xml:space="preserve">V2_1_2</x:t>
        </x:is>
      </x:c>
      <x:c r="C358" t="n">
        <x:v>1</x:v>
      </x:c>
    </x:row>
    <x:row r="359">
      <x:c r="A359" t="inlineStr">
        <x:is>
          <x:t xml:space="preserve">P04</x:t>
        </x:is>
      </x:c>
      <x:c r="B359" t="inlineStr">
        <x:is>
          <x:t xml:space="preserve">V2_2_3</x:t>
        </x:is>
      </x:c>
      <x:c r="C359" t="n">
        <x:v>1</x:v>
      </x:c>
    </x:row>
    <x:row r="360">
      <x:c r="A360" t="inlineStr">
        <x:is>
          <x:t xml:space="preserve">P04</x:t>
        </x:is>
      </x:c>
      <x:c r="B360" t="inlineStr">
        <x:is>
          <x:t xml:space="preserve">V2_3_5</x:t>
        </x:is>
      </x:c>
      <x:c r="C360" t="n">
        <x:v>1</x:v>
      </x:c>
    </x:row>
    <x:row r="361">
      <x:c r="A361" t="inlineStr">
        <x:is>
          <x:t xml:space="preserve">P04</x:t>
        </x:is>
      </x:c>
      <x:c r="B361" t="inlineStr">
        <x:is>
          <x:t xml:space="preserve">COMMENTO</x:t>
        </x:is>
      </x:c>
      <x:c r="C361" t="inlineStr">
        <x:is>
          <x:t xml:space="preserve">…………………………</x:t>
        </x:is>
      </x:c>
    </x:row>
    <x:row r="362">
      <x:c r="A362" t="inlineStr">
        <x:is>
          <x:t xml:space="preserve">P04</x:t>
        </x:is>
      </x:c>
      <x:c r="B362" t="inlineStr">
        <x:is>
          <x:t xml:space="preserve">T_FINE</x:t>
        </x:is>
      </x:c>
      <x:c r="C362" t="inlineStr">
        <x:is>
          <x:t xml:space="preserve">hh:mm</x:t>
        </x:is>
      </x:c>
    </x:row>
    <x:row r="363">
      <x:c r="A363" t="inlineStr">
        <x:is>
          <x:t xml:space="preserve">P04</x:t>
        </x:is>
      </x:c>
      <x:c r="B363" t="inlineStr">
        <x:is>
          <x:t xml:space="preserve">T_INIZIO</x:t>
        </x:is>
      </x:c>
      <x:c r="C363" t="inlineStr">
        <x:is>
          <x:t xml:space="preserve">hh:mm</x:t>
        </x:is>
      </x:c>
    </x:row>
    <x:row r="364">
      <x:c r="A364" t="inlineStr">
        <x:is>
          <x:t xml:space="preserve">P05</x:t>
        </x:is>
      </x:c>
      <x:c r="B364" t="inlineStr">
        <x:is>
          <x:t xml:space="preserve">ADESIONE_1</x:t>
        </x:is>
      </x:c>
      <x:c r="C364" t="n">
        <x:v>1</x:v>
      </x:c>
    </x:row>
    <x:row r="365">
      <x:c r="A365" t="inlineStr">
        <x:is>
          <x:t xml:space="preserve">P05</x:t>
        </x:is>
      </x:c>
      <x:c r="B365" t="inlineStr">
        <x:is>
          <x:t xml:space="preserve">C1_D1_2</x:t>
        </x:is>
      </x:c>
      <x:c r="C365" t="n">
        <x:v>1</x:v>
      </x:c>
    </x:row>
    <x:row r="366">
      <x:c r="A366" t="inlineStr">
        <x:is>
          <x:t xml:space="preserve">P05</x:t>
        </x:is>
      </x:c>
      <x:c r="B366" t="inlineStr">
        <x:is>
          <x:t xml:space="preserve">C1_D2_4</x:t>
        </x:is>
      </x:c>
      <x:c r="C366" t="n">
        <x:v>1</x:v>
      </x:c>
    </x:row>
    <x:row r="367">
      <x:c r="A367" t="inlineStr">
        <x:is>
          <x:t xml:space="preserve">P05</x:t>
        </x:is>
      </x:c>
      <x:c r="B367" t="inlineStr">
        <x:is>
          <x:t xml:space="preserve">C1_D3_6</x:t>
        </x:is>
      </x:c>
      <x:c r="C367" t="n">
        <x:v>1</x:v>
      </x:c>
    </x:row>
    <x:row r="368">
      <x:c r="A368" t="inlineStr">
        <x:is>
          <x:t xml:space="preserve">P05</x:t>
        </x:is>
      </x:c>
      <x:c r="B368" t="inlineStr">
        <x:is>
          <x:t xml:space="preserve">C1_D4_5</x:t>
        </x:is>
      </x:c>
      <x:c r="C368" t="n">
        <x:v>1</x:v>
      </x:c>
    </x:row>
    <x:row r="369">
      <x:c r="A369" t="inlineStr">
        <x:is>
          <x:t xml:space="preserve">P05</x:t>
        </x:is>
      </x:c>
      <x:c r="B369" t="inlineStr">
        <x:is>
          <x:t xml:space="preserve">C1_D5_4</x:t>
        </x:is>
      </x:c>
      <x:c r="C369" t="n">
        <x:v>1</x:v>
      </x:c>
    </x:row>
    <x:row r="370">
      <x:c r="A370" t="inlineStr">
        <x:is>
          <x:t xml:space="preserve">P05</x:t>
        </x:is>
      </x:c>
      <x:c r="B370" t="inlineStr">
        <x:is>
          <x:t xml:space="preserve">C1_L1_2</x:t>
        </x:is>
      </x:c>
      <x:c r="C370" t="n">
        <x:v>1</x:v>
      </x:c>
    </x:row>
    <x:row r="371">
      <x:c r="A371" t="inlineStr">
        <x:is>
          <x:t xml:space="preserve">P05</x:t>
        </x:is>
      </x:c>
      <x:c r="B371" t="inlineStr">
        <x:is>
          <x:t xml:space="preserve">C1_L2_4</x:t>
        </x:is>
      </x:c>
      <x:c r="C371" t="n">
        <x:v>1</x:v>
      </x:c>
    </x:row>
    <x:row r="372">
      <x:c r="A372" t="inlineStr">
        <x:is>
          <x:t xml:space="preserve">P05</x:t>
        </x:is>
      </x:c>
      <x:c r="B372" t="inlineStr">
        <x:is>
          <x:t xml:space="preserve">C1_L3_1</x:t>
        </x:is>
      </x:c>
      <x:c r="C372" t="n">
        <x:v>1</x:v>
      </x:c>
    </x:row>
    <x:row r="373">
      <x:c r="A373" t="inlineStr">
        <x:is>
          <x:t xml:space="preserve">P05</x:t>
        </x:is>
      </x:c>
      <x:c r="B373" t="inlineStr">
        <x:is>
          <x:t xml:space="preserve">C2_D1_2</x:t>
        </x:is>
      </x:c>
      <x:c r="C373" t="n">
        <x:v>1</x:v>
      </x:c>
    </x:row>
    <x:row r="374">
      <x:c r="A374" t="inlineStr">
        <x:is>
          <x:t xml:space="preserve">P05</x:t>
        </x:is>
      </x:c>
      <x:c r="B374" t="inlineStr">
        <x:is>
          <x:t xml:space="preserve">C2_D2_3</x:t>
        </x:is>
      </x:c>
      <x:c r="C374" t="n">
        <x:v>1</x:v>
      </x:c>
    </x:row>
    <x:row r="375">
      <x:c r="A375" t="inlineStr">
        <x:is>
          <x:t xml:space="preserve">P05</x:t>
        </x:is>
      </x:c>
      <x:c r="B375" t="inlineStr">
        <x:is>
          <x:t xml:space="preserve">C2_D3_6</x:t>
        </x:is>
      </x:c>
      <x:c r="C375" t="n">
        <x:v>1</x:v>
      </x:c>
    </x:row>
    <x:row r="376">
      <x:c r="A376" t="inlineStr">
        <x:is>
          <x:t xml:space="preserve">P05</x:t>
        </x:is>
      </x:c>
      <x:c r="B376" t="inlineStr">
        <x:is>
          <x:t xml:space="preserve">C2_D4_8</x:t>
        </x:is>
      </x:c>
      <x:c r="C376" t="n">
        <x:v>1</x:v>
      </x:c>
    </x:row>
    <x:row r="377">
      <x:c r="A377" t="inlineStr">
        <x:is>
          <x:t xml:space="preserve">P05</x:t>
        </x:is>
      </x:c>
      <x:c r="B377" t="inlineStr">
        <x:is>
          <x:t xml:space="preserve">C2_D5_5</x:t>
        </x:is>
      </x:c>
      <x:c r="C377" t="n">
        <x:v>1</x:v>
      </x:c>
    </x:row>
    <x:row r="378">
      <x:c r="A378" t="inlineStr">
        <x:is>
          <x:t xml:space="preserve">P05</x:t>
        </x:is>
      </x:c>
      <x:c r="B378" t="inlineStr">
        <x:is>
          <x:t xml:space="preserve">C2_L1_2</x:t>
        </x:is>
      </x:c>
      <x:c r="C378" t="n">
        <x:v>1</x:v>
      </x:c>
    </x:row>
    <x:row r="379">
      <x:c r="A379" t="inlineStr">
        <x:is>
          <x:t xml:space="preserve">P05</x:t>
        </x:is>
      </x:c>
      <x:c r="B379" t="inlineStr">
        <x:is>
          <x:t xml:space="preserve">C2_L2_2</x:t>
        </x:is>
      </x:c>
      <x:c r="C379" t="n">
        <x:v>1</x:v>
      </x:c>
    </x:row>
    <x:row r="380">
      <x:c r="A380" t="inlineStr">
        <x:is>
          <x:t xml:space="preserve">P05</x:t>
        </x:is>
      </x:c>
      <x:c r="B380" t="inlineStr">
        <x:is>
          <x:t xml:space="preserve">C2_L3_4</x:t>
        </x:is>
      </x:c>
      <x:c r="C380" t="n">
        <x:v>1</x:v>
      </x:c>
    </x:row>
    <x:row r="381">
      <x:c r="A381" t="inlineStr">
        <x:is>
          <x:t xml:space="preserve">P05</x:t>
        </x:is>
      </x:c>
      <x:c r="B381" t="inlineStr">
        <x:is>
          <x:t xml:space="preserve">C3_D1_3</x:t>
        </x:is>
      </x:c>
      <x:c r="C381" t="n">
        <x:v>1</x:v>
      </x:c>
    </x:row>
    <x:row r="382">
      <x:c r="A382" t="inlineStr">
        <x:is>
          <x:t xml:space="preserve">P05</x:t>
        </x:is>
      </x:c>
      <x:c r="B382" t="inlineStr">
        <x:is>
          <x:t xml:space="preserve">C3_D2_7</x:t>
        </x:is>
      </x:c>
      <x:c r="C382" t="n">
        <x:v>1</x:v>
      </x:c>
    </x:row>
    <x:row r="383">
      <x:c r="A383" t="inlineStr">
        <x:is>
          <x:t xml:space="preserve">P05</x:t>
        </x:is>
      </x:c>
      <x:c r="B383" t="inlineStr">
        <x:is>
          <x:t xml:space="preserve">C3_D3_2</x:t>
        </x:is>
      </x:c>
      <x:c r="C383" t="n">
        <x:v>1</x:v>
      </x:c>
    </x:row>
    <x:row r="384">
      <x:c r="A384" t="inlineStr">
        <x:is>
          <x:t xml:space="preserve">P05</x:t>
        </x:is>
      </x:c>
      <x:c r="B384" t="inlineStr">
        <x:is>
          <x:t xml:space="preserve">C3_D3_6</x:t>
        </x:is>
      </x:c>
      <x:c r="C384" t="n">
        <x:v>1</x:v>
      </x:c>
    </x:row>
    <x:row r="385">
      <x:c r="A385" t="inlineStr">
        <x:is>
          <x:t xml:space="preserve">P05</x:t>
        </x:is>
      </x:c>
      <x:c r="B385" t="inlineStr">
        <x:is>
          <x:t xml:space="preserve">C3_D5_5</x:t>
        </x:is>
      </x:c>
      <x:c r="C385" t="n">
        <x:v>1</x:v>
      </x:c>
    </x:row>
    <x:row r="386">
      <x:c r="A386" t="inlineStr">
        <x:is>
          <x:t xml:space="preserve">P05</x:t>
        </x:is>
      </x:c>
      <x:c r="B386" t="inlineStr">
        <x:is>
          <x:t xml:space="preserve">C3_L1_3</x:t>
        </x:is>
      </x:c>
      <x:c r="C386" t="n">
        <x:v>1</x:v>
      </x:c>
    </x:row>
    <x:row r="387">
      <x:c r="A387" t="inlineStr">
        <x:is>
          <x:t xml:space="preserve">P05</x:t>
        </x:is>
      </x:c>
      <x:c r="B387" t="inlineStr">
        <x:is>
          <x:t xml:space="preserve">C3_L2_2</x:t>
        </x:is>
      </x:c>
      <x:c r="C387" t="n">
        <x:v>1</x:v>
      </x:c>
    </x:row>
    <x:row r="388">
      <x:c r="A388" t="inlineStr">
        <x:is>
          <x:t xml:space="preserve">P05</x:t>
        </x:is>
      </x:c>
      <x:c r="B388" t="inlineStr">
        <x:is>
          <x:t xml:space="preserve">C3_L3_2</x:t>
        </x:is>
      </x:c>
      <x:c r="C388" t="n">
        <x:v>1</x:v>
      </x:c>
    </x:row>
    <x:row r="389">
      <x:c r="A389" t="inlineStr">
        <x:is>
          <x:t xml:space="preserve">P05</x:t>
        </x:is>
      </x:c>
      <x:c r="B389" t="inlineStr">
        <x:is>
          <x:t xml:space="preserve">C4_D1_4</x:t>
        </x:is>
      </x:c>
      <x:c r="C389" t="n">
        <x:v>1</x:v>
      </x:c>
    </x:row>
    <x:row r="390">
      <x:c r="A390" t="inlineStr">
        <x:is>
          <x:t xml:space="preserve">P05</x:t>
        </x:is>
      </x:c>
      <x:c r="B390" t="inlineStr">
        <x:is>
          <x:t xml:space="preserve">C4_D2_5</x:t>
        </x:is>
      </x:c>
      <x:c r="C390" t="n">
        <x:v>1</x:v>
      </x:c>
    </x:row>
    <x:row r="391">
      <x:c r="A391" t="inlineStr">
        <x:is>
          <x:t xml:space="preserve">P05</x:t>
        </x:is>
      </x:c>
      <x:c r="B391" t="inlineStr">
        <x:is>
          <x:t xml:space="preserve">C4_D3_3</x:t>
        </x:is>
      </x:c>
      <x:c r="C391" t="n">
        <x:v>1</x:v>
      </x:c>
    </x:row>
    <x:row r="392">
      <x:c r="A392" t="inlineStr">
        <x:is>
          <x:t xml:space="preserve">P05</x:t>
        </x:is>
      </x:c>
      <x:c r="B392" t="inlineStr">
        <x:is>
          <x:t xml:space="preserve">C4_D3_4</x:t>
        </x:is>
      </x:c>
      <x:c r="C392" t="n">
        <x:v>1</x:v>
      </x:c>
    </x:row>
    <x:row r="393">
      <x:c r="A393" t="inlineStr">
        <x:is>
          <x:t xml:space="preserve">P05</x:t>
        </x:is>
      </x:c>
      <x:c r="B393" t="inlineStr">
        <x:is>
          <x:t xml:space="preserve">C4_D4_5</x:t>
        </x:is>
      </x:c>
      <x:c r="C393" t="n">
        <x:v>1</x:v>
      </x:c>
    </x:row>
    <x:row r="394">
      <x:c r="A394" t="inlineStr">
        <x:is>
          <x:t xml:space="preserve">P05</x:t>
        </x:is>
      </x:c>
      <x:c r="B394" t="inlineStr">
        <x:is>
          <x:t xml:space="preserve">C4_D5_6</x:t>
        </x:is>
      </x:c>
      <x:c r="C394" t="n">
        <x:v>1</x:v>
      </x:c>
    </x:row>
    <x:row r="395">
      <x:c r="A395" t="inlineStr">
        <x:is>
          <x:t xml:space="preserve">P05</x:t>
        </x:is>
      </x:c>
      <x:c r="B395" t="inlineStr">
        <x:is>
          <x:t xml:space="preserve">C4_L1_4</x:t>
        </x:is>
      </x:c>
      <x:c r="C395" t="n">
        <x:v>1</x:v>
      </x:c>
    </x:row>
    <x:row r="396">
      <x:c r="A396" t="inlineStr">
        <x:is>
          <x:t xml:space="preserve">P05</x:t>
        </x:is>
      </x:c>
      <x:c r="B396" t="inlineStr">
        <x:is>
          <x:t xml:space="preserve">C4_L2_3</x:t>
        </x:is>
      </x:c>
      <x:c r="C396" t="n">
        <x:v>1</x:v>
      </x:c>
    </x:row>
    <x:row r="397">
      <x:c r="A397" t="inlineStr">
        <x:is>
          <x:t xml:space="preserve">P05</x:t>
        </x:is>
      </x:c>
      <x:c r="B397" t="inlineStr">
        <x:is>
          <x:t xml:space="preserve">C4_L3_2</x:t>
        </x:is>
      </x:c>
      <x:c r="C397" t="n">
        <x:v>1</x:v>
      </x:c>
    </x:row>
    <x:row r="398">
      <x:c r="A398" t="inlineStr">
        <x:is>
          <x:t xml:space="preserve">P05</x:t>
        </x:is>
      </x:c>
      <x:c r="B398" t="inlineStr">
        <x:is>
          <x:t xml:space="preserve">C5_D1_6</x:t>
        </x:is>
      </x:c>
      <x:c r="C398" t="n">
        <x:v>1</x:v>
      </x:c>
    </x:row>
    <x:row r="399">
      <x:c r="A399" t="inlineStr">
        <x:is>
          <x:t xml:space="preserve">P05</x:t>
        </x:is>
      </x:c>
      <x:c r="B399" t="inlineStr">
        <x:is>
          <x:t xml:space="preserve">C5_D2_7</x:t>
        </x:is>
      </x:c>
      <x:c r="C399" t="n">
        <x:v>1</x:v>
      </x:c>
    </x:row>
    <x:row r="400">
      <x:c r="A400" t="inlineStr">
        <x:is>
          <x:t xml:space="preserve">P05</x:t>
        </x:is>
      </x:c>
      <x:c r="B400" t="inlineStr">
        <x:is>
          <x:t xml:space="preserve">C5_D4_10</x:t>
        </x:is>
      </x:c>
      <x:c r="C400" t="n">
        <x:v>1</x:v>
      </x:c>
    </x:row>
    <x:row r="401">
      <x:c r="A401" t="inlineStr">
        <x:is>
          <x:t xml:space="preserve">P05</x:t>
        </x:is>
      </x:c>
      <x:c r="B401" t="inlineStr">
        <x:is>
          <x:t xml:space="preserve">C5_D5_5</x:t>
        </x:is>
      </x:c>
      <x:c r="C401" t="n">
        <x:v>1</x:v>
      </x:c>
    </x:row>
    <x:row r="402">
      <x:c r="A402" t="inlineStr">
        <x:is>
          <x:t xml:space="preserve">P05</x:t>
        </x:is>
      </x:c>
      <x:c r="B402" t="inlineStr">
        <x:is>
          <x:t xml:space="preserve">C5_L1_6</x:t>
        </x:is>
      </x:c>
      <x:c r="C402" t="n">
        <x:v>1</x:v>
      </x:c>
    </x:row>
    <x:row r="403">
      <x:c r="A403" t="inlineStr">
        <x:is>
          <x:t xml:space="preserve">P05</x:t>
        </x:is>
      </x:c>
      <x:c r="B403" t="inlineStr">
        <x:is>
          <x:t xml:space="preserve">C5_L2_5</x:t>
        </x:is>
      </x:c>
      <x:c r="C403" t="n">
        <x:v>1</x:v>
      </x:c>
    </x:row>
    <x:row r="404">
      <x:c r="A404" t="inlineStr">
        <x:is>
          <x:t xml:space="preserve">P05</x:t>
        </x:is>
      </x:c>
      <x:c r="B404" t="inlineStr">
        <x:is>
          <x:t xml:space="preserve">C5_L3_2</x:t>
        </x:is>
      </x:c>
      <x:c r="C404" t="n">
        <x:v>1</x:v>
      </x:c>
    </x:row>
    <x:row r="405">
      <x:c r="A405" t="inlineStr">
        <x:is>
          <x:t xml:space="preserve">P05</x:t>
        </x:is>
      </x:c>
      <x:c r="B405" t="inlineStr">
        <x:is>
          <x:t xml:space="preserve">F1_3</x:t>
        </x:is>
      </x:c>
      <x:c r="C405" t="n">
        <x:v>1</x:v>
      </x:c>
    </x:row>
    <x:row r="406">
      <x:c r="A406" t="inlineStr">
        <x:is>
          <x:t xml:space="preserve">P05</x:t>
        </x:is>
      </x:c>
      <x:c r="B406" t="inlineStr">
        <x:is>
          <x:t xml:space="preserve">F2_1</x:t>
        </x:is>
      </x:c>
      <x:c r="C406" t="n">
        <x:v>1</x:v>
      </x:c>
    </x:row>
    <x:row r="407">
      <x:c r="A407" t="inlineStr">
        <x:is>
          <x:t xml:space="preserve">P05</x:t>
        </x:is>
      </x:c>
      <x:c r="B407" t="inlineStr">
        <x:is>
          <x:t xml:space="preserve">F2_3</x:t>
        </x:is>
      </x:c>
      <x:c r="C407" t="n">
        <x:v>1</x:v>
      </x:c>
    </x:row>
    <x:row r="408">
      <x:c r="A408" t="inlineStr">
        <x:is>
          <x:t xml:space="preserve">P05</x:t>
        </x:is>
      </x:c>
      <x:c r="B408" t="inlineStr">
        <x:is>
          <x:t xml:space="preserve">G1_5</x:t>
        </x:is>
      </x:c>
      <x:c r="C408" t="n">
        <x:v>1</x:v>
      </x:c>
    </x:row>
    <x:row r="409">
      <x:c r="A409" t="inlineStr">
        <x:is>
          <x:t xml:space="preserve">P05</x:t>
        </x:is>
      </x:c>
      <x:c r="B409" t="inlineStr">
        <x:is>
          <x:t xml:space="preserve">G2_4</x:t>
        </x:is>
      </x:c>
      <x:c r="C409" t="n">
        <x:v>1</x:v>
      </x:c>
    </x:row>
    <x:row r="410">
      <x:c r="A410" t="inlineStr">
        <x:is>
          <x:t xml:space="preserve">P05</x:t>
        </x:is>
      </x:c>
      <x:c r="B410" t="inlineStr">
        <x:is>
          <x:t xml:space="preserve">G3_4</x:t>
        </x:is>
      </x:c>
      <x:c r="C410" t="n">
        <x:v>1</x:v>
      </x:c>
    </x:row>
    <x:row r="411">
      <x:c r="A411" t="inlineStr">
        <x:is>
          <x:t xml:space="preserve">P05</x:t>
        </x:is>
      </x:c>
      <x:c r="B411" t="inlineStr">
        <x:is>
          <x:t xml:space="preserve">G4_4</x:t>
        </x:is>
      </x:c>
      <x:c r="C411" t="n">
        <x:v>1</x:v>
      </x:c>
    </x:row>
    <x:row r="412">
      <x:c r="A412" t="inlineStr">
        <x:is>
          <x:t xml:space="preserve">P05</x:t>
        </x:is>
      </x:c>
      <x:c r="B412" t="inlineStr">
        <x:is>
          <x:t xml:space="preserve">G5_4</x:t>
        </x:is>
      </x:c>
      <x:c r="C412" t="n">
        <x:v>1</x:v>
      </x:c>
    </x:row>
    <x:row r="413">
      <x:c r="A413" t="inlineStr">
        <x:is>
          <x:t xml:space="preserve">P05</x:t>
        </x:is>
      </x:c>
      <x:c r="B413" t="inlineStr">
        <x:is>
          <x:t xml:space="preserve">G6_2</x:t>
        </x:is>
      </x:c>
      <x:c r="C413" t="n">
        <x:v>1</x:v>
      </x:c>
    </x:row>
    <x:row r="414">
      <x:c r="A414" t="inlineStr">
        <x:is>
          <x:t xml:space="preserve">P05</x:t>
        </x:is>
      </x:c>
      <x:c r="B414" t="inlineStr">
        <x:is>
          <x:t xml:space="preserve">G7_5</x:t>
        </x:is>
      </x:c>
      <x:c r="C414" t="n">
        <x:v>1</x:v>
      </x:c>
    </x:row>
    <x:row r="415">
      <x:c r="A415" t="inlineStr">
        <x:is>
          <x:t xml:space="preserve">P05</x:t>
        </x:is>
      </x:c>
      <x:c r="B415" t="inlineStr">
        <x:is>
          <x:t xml:space="preserve">P0A_3</x:t>
        </x:is>
      </x:c>
      <x:c r="C415" t="n">
        <x:v>1</x:v>
      </x:c>
    </x:row>
    <x:row r="416">
      <x:c r="A416" t="inlineStr">
        <x:is>
          <x:t xml:space="preserve">P05</x:t>
        </x:is>
      </x:c>
      <x:c r="B416" t="inlineStr">
        <x:is>
          <x:t xml:space="preserve">P0B_1</x:t>
        </x:is>
      </x:c>
      <x:c r="C416" t="n">
        <x:v>1</x:v>
      </x:c>
    </x:row>
    <x:row r="417">
      <x:c r="A417" t="inlineStr">
        <x:is>
          <x:t xml:space="preserve">P05</x:t>
        </x:is>
      </x:c>
      <x:c r="B417" t="inlineStr">
        <x:is>
          <x:t xml:space="preserve">P0C_1</x:t>
        </x:is>
      </x:c>
      <x:c r="C417" t="n">
        <x:v>1</x:v>
      </x:c>
    </x:row>
    <x:row r="418">
      <x:c r="A418" t="inlineStr">
        <x:is>
          <x:t xml:space="preserve">P05</x:t>
        </x:is>
      </x:c>
      <x:c r="B418" t="inlineStr">
        <x:is>
          <x:t xml:space="preserve">PROF_2</x:t>
        </x:is>
      </x:c>
      <x:c r="C418" t="n">
        <x:v>1</x:v>
      </x:c>
    </x:row>
    <x:row r="419">
      <x:c r="A419" t="inlineStr">
        <x:is>
          <x:t xml:space="preserve">P05</x:t>
        </x:is>
      </x:c>
      <x:c r="B419" t="inlineStr">
        <x:is>
          <x:t xml:space="preserve">Q1_2</x:t>
        </x:is>
      </x:c>
      <x:c r="C419" t="n">
        <x:v>1</x:v>
      </x:c>
    </x:row>
    <x:row r="420">
      <x:c r="A420" t="inlineStr">
        <x:is>
          <x:t xml:space="preserve">P05</x:t>
        </x:is>
      </x:c>
      <x:c r="B420" t="inlineStr">
        <x:is>
          <x:t xml:space="preserve">Q2_1</x:t>
        </x:is>
      </x:c>
      <x:c r="C420" t="n">
        <x:v>1</x:v>
      </x:c>
    </x:row>
    <x:row r="421">
      <x:c r="A421" t="inlineStr">
        <x:is>
          <x:t xml:space="preserve">P05</x:t>
        </x:is>
      </x:c>
      <x:c r="B421" t="inlineStr">
        <x:is>
          <x:t xml:space="preserve">Q3_2</x:t>
        </x:is>
      </x:c>
      <x:c r="C421" t="n">
        <x:v>1</x:v>
      </x:c>
    </x:row>
    <x:row r="422">
      <x:c r="A422" t="inlineStr">
        <x:is>
          <x:t xml:space="preserve">P05</x:t>
        </x:is>
      </x:c>
      <x:c r="B422" t="inlineStr">
        <x:is>
          <x:t xml:space="preserve">Q4_2</x:t>
        </x:is>
      </x:c>
      <x:c r="C422" t="n">
        <x:v>1</x:v>
      </x:c>
    </x:row>
    <x:row r="423">
      <x:c r="A423" t="inlineStr">
        <x:is>
          <x:t xml:space="preserve">P05</x:t>
        </x:is>
      </x:c>
      <x:c r="B423" t="inlineStr">
        <x:is>
          <x:t xml:space="preserve">Q5_2</x:t>
        </x:is>
      </x:c>
      <x:c r="C423" t="n">
        <x:v>1</x:v>
      </x:c>
    </x:row>
    <x:row r="424">
      <x:c r="A424" t="inlineStr">
        <x:is>
          <x:t xml:space="preserve">P05</x:t>
        </x:is>
      </x:c>
      <x:c r="B424" t="inlineStr">
        <x:is>
          <x:t xml:space="preserve">S10_2</x:t>
        </x:is>
      </x:c>
      <x:c r="C424" t="n">
        <x:v>1</x:v>
      </x:c>
    </x:row>
    <x:row r="425">
      <x:c r="A425" t="inlineStr">
        <x:is>
          <x:t xml:space="preserve">P05</x:t>
        </x:is>
      </x:c>
      <x:c r="B425" t="inlineStr">
        <x:is>
          <x:t xml:space="preserve">S1_4</x:t>
        </x:is>
      </x:c>
      <x:c r="C425" t="n">
        <x:v>1</x:v>
      </x:c>
    </x:row>
    <x:row r="426">
      <x:c r="A426" t="inlineStr">
        <x:is>
          <x:t xml:space="preserve">P05</x:t>
        </x:is>
      </x:c>
      <x:c r="B426" t="inlineStr">
        <x:is>
          <x:t xml:space="preserve">S2_2</x:t>
        </x:is>
      </x:c>
      <x:c r="C426" t="n">
        <x:v>1</x:v>
      </x:c>
    </x:row>
    <x:row r="427">
      <x:c r="A427" t="inlineStr">
        <x:is>
          <x:t xml:space="preserve">P05</x:t>
        </x:is>
      </x:c>
      <x:c r="B427" t="inlineStr">
        <x:is>
          <x:t xml:space="preserve">S3_4</x:t>
        </x:is>
      </x:c>
      <x:c r="C427" t="n">
        <x:v>1</x:v>
      </x:c>
    </x:row>
    <x:row r="428">
      <x:c r="A428" t="inlineStr">
        <x:is>
          <x:t xml:space="preserve">P05</x:t>
        </x:is>
      </x:c>
      <x:c r="B428" t="inlineStr">
        <x:is>
          <x:t xml:space="preserve">S4_2</x:t>
        </x:is>
      </x:c>
      <x:c r="C428" t="n">
        <x:v>1</x:v>
      </x:c>
    </x:row>
    <x:row r="429">
      <x:c r="A429" t="inlineStr">
        <x:is>
          <x:t xml:space="preserve">P05</x:t>
        </x:is>
      </x:c>
      <x:c r="B429" t="inlineStr">
        <x:is>
          <x:t xml:space="preserve">S5_4</x:t>
        </x:is>
      </x:c>
      <x:c r="C429" t="n">
        <x:v>1</x:v>
      </x:c>
    </x:row>
    <x:row r="430">
      <x:c r="A430" t="inlineStr">
        <x:is>
          <x:t xml:space="preserve">P05</x:t>
        </x:is>
      </x:c>
      <x:c r="B430" t="inlineStr">
        <x:is>
          <x:t xml:space="preserve">S6_1</x:t>
        </x:is>
      </x:c>
      <x:c r="C430" t="n">
        <x:v>1</x:v>
      </x:c>
    </x:row>
    <x:row r="431">
      <x:c r="A431" t="inlineStr">
        <x:is>
          <x:t xml:space="preserve">P05</x:t>
        </x:is>
      </x:c>
      <x:c r="B431" t="inlineStr">
        <x:is>
          <x:t xml:space="preserve">S7_4</x:t>
        </x:is>
      </x:c>
      <x:c r="C431" t="n">
        <x:v>1</x:v>
      </x:c>
    </x:row>
    <x:row r="432">
      <x:c r="A432" t="inlineStr">
        <x:is>
          <x:t xml:space="preserve">P05</x:t>
        </x:is>
      </x:c>
      <x:c r="B432" t="inlineStr">
        <x:is>
          <x:t xml:space="preserve">S8_1</x:t>
        </x:is>
      </x:c>
      <x:c r="C432" t="n">
        <x:v>1</x:v>
      </x:c>
    </x:row>
    <x:row r="433">
      <x:c r="A433" t="inlineStr">
        <x:is>
          <x:t xml:space="preserve">P05</x:t>
        </x:is>
      </x:c>
      <x:c r="B433" t="inlineStr">
        <x:is>
          <x:t xml:space="preserve">S9_4</x:t>
        </x:is>
      </x:c>
      <x:c r="C433" t="n">
        <x:v>1</x:v>
      </x:c>
    </x:row>
    <x:row r="434">
      <x:c r="A434" t="inlineStr">
        <x:is>
          <x:t xml:space="preserve">P05</x:t>
        </x:is>
      </x:c>
      <x:c r="B434" t="inlineStr">
        <x:is>
          <x:t xml:space="preserve">TOK_C_1</x:t>
        </x:is>
      </x:c>
      <x:c r="C434" t="n">
        <x:v>1</x:v>
      </x:c>
    </x:row>
    <x:row r="435">
      <x:c r="A435" t="inlineStr">
        <x:is>
          <x:t xml:space="preserve">P05</x:t>
        </x:is>
      </x:c>
      <x:c r="B435" t="inlineStr">
        <x:is>
          <x:t xml:space="preserve">TOK_C_2</x:t>
        </x:is>
      </x:c>
      <x:c r="C435" t="n">
        <x:v>1</x:v>
      </x:c>
    </x:row>
    <x:row r="436">
      <x:c r="A436" t="inlineStr">
        <x:is>
          <x:t xml:space="preserve">P05</x:t>
        </x:is>
      </x:c>
      <x:c r="B436" t="inlineStr">
        <x:is>
          <x:t xml:space="preserve">TOK_C_3</x:t>
        </x:is>
      </x:c>
      <x:c r="C436" t="n">
        <x:v>1</x:v>
      </x:c>
    </x:row>
    <x:row r="437">
      <x:c r="A437" t="inlineStr">
        <x:is>
          <x:t xml:space="preserve">P05</x:t>
        </x:is>
      </x:c>
      <x:c r="B437" t="inlineStr">
        <x:is>
          <x:t xml:space="preserve">TOK_S_1</x:t>
        </x:is>
      </x:c>
      <x:c r="C437" t="n">
        <x:v>1</x:v>
      </x:c>
    </x:row>
    <x:row r="438">
      <x:c r="A438" t="inlineStr">
        <x:is>
          <x:t xml:space="preserve">P05</x:t>
        </x:is>
      </x:c>
      <x:c r="B438" t="inlineStr">
        <x:is>
          <x:t xml:space="preserve">TOK_S_2</x:t>
        </x:is>
      </x:c>
      <x:c r="C438" t="n">
        <x:v>1</x:v>
      </x:c>
    </x:row>
    <x:row r="439">
      <x:c r="A439" t="inlineStr">
        <x:is>
          <x:t xml:space="preserve">P05</x:t>
        </x:is>
      </x:c>
      <x:c r="B439" t="inlineStr">
        <x:is>
          <x:t xml:space="preserve">TOK_T_1</x:t>
        </x:is>
      </x:c>
      <x:c r="C439" t="n">
        <x:v>1</x:v>
      </x:c>
    </x:row>
    <x:row r="440">
      <x:c r="A440" t="inlineStr">
        <x:is>
          <x:t xml:space="preserve">P05</x:t>
        </x:is>
      </x:c>
      <x:c r="B440" t="inlineStr">
        <x:is>
          <x:t xml:space="preserve">TOK_T_2</x:t>
        </x:is>
      </x:c>
      <x:c r="C440" t="n">
        <x:v>1</x:v>
      </x:c>
    </x:row>
    <x:row r="441">
      <x:c r="A441" t="inlineStr">
        <x:is>
          <x:t xml:space="preserve">P05</x:t>
        </x:is>
      </x:c>
      <x:c r="B441" t="inlineStr">
        <x:is>
          <x:t xml:space="preserve">TOK_T_3</x:t>
        </x:is>
      </x:c>
      <x:c r="C441" t="n">
        <x:v>1</x:v>
      </x:c>
    </x:row>
    <x:row r="442">
      <x:c r="A442" t="inlineStr">
        <x:is>
          <x:t xml:space="preserve">P05</x:t>
        </x:is>
      </x:c>
      <x:c r="B442" t="inlineStr">
        <x:is>
          <x:t xml:space="preserve">TOK_T_4</x:t>
        </x:is>
      </x:c>
      <x:c r="C442" t="n">
        <x:v>1</x:v>
      </x:c>
    </x:row>
    <x:row r="443">
      <x:c r="A443" t="inlineStr">
        <x:is>
          <x:t xml:space="preserve">P05</x:t>
        </x:is>
      </x:c>
      <x:c r="B443" t="inlineStr">
        <x:is>
          <x:t xml:space="preserve">TOK_T_5</x:t>
        </x:is>
      </x:c>
      <x:c r="C443" t="n">
        <x:v>1</x:v>
      </x:c>
    </x:row>
    <x:row r="444">
      <x:c r="A444" t="inlineStr">
        <x:is>
          <x:t xml:space="preserve">P05</x:t>
        </x:is>
      </x:c>
      <x:c r="B444" t="inlineStr">
        <x:is>
          <x:t xml:space="preserve">V1_1_2</x:t>
        </x:is>
      </x:c>
      <x:c r="C444" t="n">
        <x:v>1</x:v>
      </x:c>
    </x:row>
    <x:row r="445">
      <x:c r="A445" t="inlineStr">
        <x:is>
          <x:t xml:space="preserve">P05</x:t>
        </x:is>
      </x:c>
      <x:c r="B445" t="inlineStr">
        <x:is>
          <x:t xml:space="preserve">V1_2_3</x:t>
        </x:is>
      </x:c>
      <x:c r="C445" t="n">
        <x:v>1</x:v>
      </x:c>
    </x:row>
    <x:row r="446">
      <x:c r="A446" t="inlineStr">
        <x:is>
          <x:t xml:space="preserve">P05</x:t>
        </x:is>
      </x:c>
      <x:c r="B446" t="inlineStr">
        <x:is>
          <x:t xml:space="preserve">V1_3_4</x:t>
        </x:is>
      </x:c>
      <x:c r="C446" t="n">
        <x:v>1</x:v>
      </x:c>
    </x:row>
    <x:row r="447">
      <x:c r="A447" t="inlineStr">
        <x:is>
          <x:t xml:space="preserve">P05</x:t>
        </x:is>
      </x:c>
      <x:c r="B447" t="inlineStr">
        <x:is>
          <x:t xml:space="preserve">V2_1_2</x:t>
        </x:is>
      </x:c>
      <x:c r="C447" t="n">
        <x:v>1</x:v>
      </x:c>
    </x:row>
    <x:row r="448">
      <x:c r="A448" t="inlineStr">
        <x:is>
          <x:t xml:space="preserve">P05</x:t>
        </x:is>
      </x:c>
      <x:c r="B448" t="inlineStr">
        <x:is>
          <x:t xml:space="preserve">V2_2_3</x:t>
        </x:is>
      </x:c>
      <x:c r="C448" t="n">
        <x:v>1</x:v>
      </x:c>
    </x:row>
    <x:row r="449">
      <x:c r="A449" t="inlineStr">
        <x:is>
          <x:t xml:space="preserve">P05</x:t>
        </x:is>
      </x:c>
      <x:c r="B449" t="inlineStr">
        <x:is>
          <x:t xml:space="preserve">V2_3_5</x:t>
        </x:is>
      </x:c>
      <x:c r="C449" t="n">
        <x:v>1</x:v>
      </x:c>
    </x:row>
    <x:row r="450">
      <x:c r="A450" t="inlineStr">
        <x:is>
          <x:t xml:space="preserve">P05</x:t>
        </x:is>
      </x:c>
      <x:c r="B450" t="inlineStr">
        <x:is>
          <x:t xml:space="preserve">COMMENTO</x:t>
        </x:is>
      </x:c>
      <x:c r="C450" t="inlineStr">
        <x:is>
          <x:t xml:space="preserve">…………………………</x:t>
        </x:is>
      </x:c>
    </x:row>
    <x:row r="451">
      <x:c r="A451" t="inlineStr">
        <x:is>
          <x:t xml:space="preserve">P05</x:t>
        </x:is>
      </x:c>
      <x:c r="B451" t="inlineStr">
        <x:is>
          <x:t xml:space="preserve">T_FINE</x:t>
        </x:is>
      </x:c>
      <x:c r="C451" t="inlineStr">
        <x:is>
          <x:t xml:space="preserve">hh:mm</x:t>
        </x:is>
      </x:c>
    </x:row>
    <x:row r="452">
      <x:c r="A452" t="inlineStr">
        <x:is>
          <x:t xml:space="preserve">P05</x:t>
        </x:is>
      </x:c>
      <x:c r="B452" t="inlineStr">
        <x:is>
          <x:t xml:space="preserve">T_INIZIO</x:t>
        </x:is>
      </x:c>
      <x:c r="C452" t="inlineStr">
        <x:is>
          <x:t xml:space="preserve">hh:mm</x:t>
        </x:is>
      </x:c>
    </x:row>
    <x:row r="453">
      <x:c r="A453" t="inlineStr">
        <x:is>
          <x:t xml:space="preserve">P06</x:t>
        </x:is>
      </x:c>
      <x:c r="B453" t="inlineStr">
        <x:is>
          <x:t xml:space="preserve">ADESIONE_1</x:t>
        </x:is>
      </x:c>
      <x:c r="C453" t="n">
        <x:v>1</x:v>
      </x:c>
    </x:row>
    <x:row r="454">
      <x:c r="A454" t="inlineStr">
        <x:is>
          <x:t xml:space="preserve">P06</x:t>
        </x:is>
      </x:c>
      <x:c r="B454" t="inlineStr">
        <x:is>
          <x:t xml:space="preserve">C1_D1_1</x:t>
        </x:is>
      </x:c>
      <x:c r="C454" t="n">
        <x:v>1</x:v>
      </x:c>
    </x:row>
    <x:row r="455">
      <x:c r="A455" t="inlineStr">
        <x:is>
          <x:t xml:space="preserve">P06</x:t>
        </x:is>
      </x:c>
      <x:c r="B455" t="inlineStr">
        <x:is>
          <x:t xml:space="preserve">C1_D2_10</x:t>
        </x:is>
      </x:c>
      <x:c r="C455" t="n">
        <x:v>1</x:v>
      </x:c>
    </x:row>
    <x:row r="456">
      <x:c r="A456" t="inlineStr">
        <x:is>
          <x:t xml:space="preserve">P06</x:t>
        </x:is>
      </x:c>
      <x:c r="B456" t="inlineStr">
        <x:is>
          <x:t xml:space="preserve">C1_D3_1</x:t>
        </x:is>
      </x:c>
      <x:c r="C456" t="n">
        <x:v>1</x:v>
      </x:c>
    </x:row>
    <x:row r="457">
      <x:c r="A457" t="inlineStr">
        <x:is>
          <x:t xml:space="preserve">P06</x:t>
        </x:is>
      </x:c>
      <x:c r="B457" t="inlineStr">
        <x:is>
          <x:t xml:space="preserve">C1_D3_2</x:t>
        </x:is>
      </x:c>
      <x:c r="C457" t="n">
        <x:v>1</x:v>
      </x:c>
    </x:row>
    <x:row r="458">
      <x:c r="A458" t="inlineStr">
        <x:is>
          <x:t xml:space="preserve">P06</x:t>
        </x:is>
      </x:c>
      <x:c r="B458" t="inlineStr">
        <x:is>
          <x:t xml:space="preserve">C1_D4_2</x:t>
        </x:is>
      </x:c>
      <x:c r="C458" t="n">
        <x:v>1</x:v>
      </x:c>
    </x:row>
    <x:row r="459">
      <x:c r="A459" t="inlineStr">
        <x:is>
          <x:t xml:space="preserve">P06</x:t>
        </x:is>
      </x:c>
      <x:c r="B459" t="inlineStr">
        <x:is>
          <x:t xml:space="preserve">C1_D5_6</x:t>
        </x:is>
      </x:c>
      <x:c r="C459" t="n">
        <x:v>1</x:v>
      </x:c>
    </x:row>
    <x:row r="460">
      <x:c r="A460" t="inlineStr">
        <x:is>
          <x:t xml:space="preserve">P06</x:t>
        </x:is>
      </x:c>
      <x:c r="B460" t="inlineStr">
        <x:is>
          <x:t xml:space="preserve">C1_L1_4</x:t>
        </x:is>
      </x:c>
      <x:c r="C460" t="n">
        <x:v>1</x:v>
      </x:c>
    </x:row>
    <x:row r="461">
      <x:c r="A461" t="inlineStr">
        <x:is>
          <x:t xml:space="preserve">P06</x:t>
        </x:is>
      </x:c>
      <x:c r="B461" t="inlineStr">
        <x:is>
          <x:t xml:space="preserve">C1_L2_2</x:t>
        </x:is>
      </x:c>
      <x:c r="C461" t="n">
        <x:v>1</x:v>
      </x:c>
    </x:row>
    <x:row r="462">
      <x:c r="A462" t="inlineStr">
        <x:is>
          <x:t xml:space="preserve">P06</x:t>
        </x:is>
      </x:c>
      <x:c r="B462" t="inlineStr">
        <x:is>
          <x:t xml:space="preserve">C1_L3_2</x:t>
        </x:is>
      </x:c>
      <x:c r="C462" t="n">
        <x:v>1</x:v>
      </x:c>
    </x:row>
    <x:row r="463">
      <x:c r="A463" t="inlineStr">
        <x:is>
          <x:t xml:space="preserve">P06</x:t>
        </x:is>
      </x:c>
      <x:c r="B463" t="inlineStr">
        <x:is>
          <x:t xml:space="preserve">C2_D1_3</x:t>
        </x:is>
      </x:c>
      <x:c r="C463" t="n">
        <x:v>1</x:v>
      </x:c>
    </x:row>
    <x:row r="464">
      <x:c r="A464" t="inlineStr">
        <x:is>
          <x:t xml:space="preserve">P06</x:t>
        </x:is>
      </x:c>
      <x:c r="B464" t="inlineStr">
        <x:is>
          <x:t xml:space="preserve">C2_D2_10</x:t>
        </x:is>
      </x:c>
      <x:c r="C464" t="n">
        <x:v>1</x:v>
      </x:c>
    </x:row>
    <x:row r="465">
      <x:c r="A465" t="inlineStr">
        <x:is>
          <x:t xml:space="preserve">P06</x:t>
        </x:is>
      </x:c>
      <x:c r="B465" t="inlineStr">
        <x:is>
          <x:t xml:space="preserve">C2_D3_1</x:t>
        </x:is>
      </x:c>
      <x:c r="C465" t="n">
        <x:v>1</x:v>
      </x:c>
    </x:row>
    <x:row r="466">
      <x:c r="A466" t="inlineStr">
        <x:is>
          <x:t xml:space="preserve">P06</x:t>
        </x:is>
      </x:c>
      <x:c r="B466" t="inlineStr">
        <x:is>
          <x:t xml:space="preserve">C2_D3_5</x:t>
        </x:is>
      </x:c>
      <x:c r="C466" t="n">
        <x:v>1</x:v>
      </x:c>
    </x:row>
    <x:row r="467">
      <x:c r="A467" t="inlineStr">
        <x:is>
          <x:t xml:space="preserve">P06</x:t>
        </x:is>
      </x:c>
      <x:c r="B467" t="inlineStr">
        <x:is>
          <x:t xml:space="preserve">C2_D5_6</x:t>
        </x:is>
      </x:c>
      <x:c r="C467" t="n">
        <x:v>1</x:v>
      </x:c>
    </x:row>
    <x:row r="468">
      <x:c r="A468" t="inlineStr">
        <x:is>
          <x:t xml:space="preserve">P06</x:t>
        </x:is>
      </x:c>
      <x:c r="B468" t="inlineStr">
        <x:is>
          <x:t xml:space="preserve">C2_L1_5</x:t>
        </x:is>
      </x:c>
      <x:c r="C468" t="n">
        <x:v>1</x:v>
      </x:c>
    </x:row>
    <x:row r="469">
      <x:c r="A469" t="inlineStr">
        <x:is>
          <x:t xml:space="preserve">P06</x:t>
        </x:is>
      </x:c>
      <x:c r="B469" t="inlineStr">
        <x:is>
          <x:t xml:space="preserve">C2_L2_3</x:t>
        </x:is>
      </x:c>
      <x:c r="C469" t="n">
        <x:v>1</x:v>
      </x:c>
    </x:row>
    <x:row r="470">
      <x:c r="A470" t="inlineStr">
        <x:is>
          <x:t xml:space="preserve">P06</x:t>
        </x:is>
      </x:c>
      <x:c r="B470" t="inlineStr">
        <x:is>
          <x:t xml:space="preserve">C2_L3_2</x:t>
        </x:is>
      </x:c>
      <x:c r="C470" t="n">
        <x:v>1</x:v>
      </x:c>
    </x:row>
    <x:row r="471">
      <x:c r="A471" t="inlineStr">
        <x:is>
          <x:t xml:space="preserve">P06</x:t>
        </x:is>
      </x:c>
      <x:c r="B471" t="inlineStr">
        <x:is>
          <x:t xml:space="preserve">C3_D1_1</x:t>
        </x:is>
      </x:c>
      <x:c r="C471" t="n">
        <x:v>1</x:v>
      </x:c>
    </x:row>
    <x:row r="472">
      <x:c r="A472" t="inlineStr">
        <x:is>
          <x:t xml:space="preserve">P06</x:t>
        </x:is>
      </x:c>
      <x:c r="B472" t="inlineStr">
        <x:is>
          <x:t xml:space="preserve">C3_D3_2</x:t>
        </x:is>
      </x:c>
      <x:c r="C472" t="n">
        <x:v>1</x:v>
      </x:c>
    </x:row>
    <x:row r="473">
      <x:c r="A473" t="inlineStr">
        <x:is>
          <x:t xml:space="preserve">P06</x:t>
        </x:is>
      </x:c>
      <x:c r="B473" t="inlineStr">
        <x:is>
          <x:t xml:space="preserve">C3_D3_5</x:t>
        </x:is>
      </x:c>
      <x:c r="C473" t="n">
        <x:v>1</x:v>
      </x:c>
    </x:row>
    <x:row r="474">
      <x:c r="A474" t="inlineStr">
        <x:is>
          <x:t xml:space="preserve">P06</x:t>
        </x:is>
      </x:c>
      <x:c r="B474" t="inlineStr">
        <x:is>
          <x:t xml:space="preserve">C3_D4_1</x:t>
        </x:is>
      </x:c>
      <x:c r="C474" t="n">
        <x:v>1</x:v>
      </x:c>
    </x:row>
    <x:row r="475">
      <x:c r="A475" t="inlineStr">
        <x:is>
          <x:t xml:space="preserve">P06</x:t>
        </x:is>
      </x:c>
      <x:c r="B475" t="inlineStr">
        <x:is>
          <x:t xml:space="preserve">C3_D5_6</x:t>
        </x:is>
      </x:c>
      <x:c r="C475" t="n">
        <x:v>1</x:v>
      </x:c>
    </x:row>
    <x:row r="476">
      <x:c r="A476" t="inlineStr">
        <x:is>
          <x:t xml:space="preserve">P06</x:t>
        </x:is>
      </x:c>
      <x:c r="B476" t="inlineStr">
        <x:is>
          <x:t xml:space="preserve">C3_L1_2</x:t>
        </x:is>
      </x:c>
      <x:c r="C476" t="n">
        <x:v>1</x:v>
      </x:c>
    </x:row>
    <x:row r="477">
      <x:c r="A477" t="inlineStr">
        <x:is>
          <x:t xml:space="preserve">P06</x:t>
        </x:is>
      </x:c>
      <x:c r="B477" t="inlineStr">
        <x:is>
          <x:t xml:space="preserve">C3_L2_3</x:t>
        </x:is>
      </x:c>
      <x:c r="C477" t="n">
        <x:v>1</x:v>
      </x:c>
    </x:row>
    <x:row r="478">
      <x:c r="A478" t="inlineStr">
        <x:is>
          <x:t xml:space="preserve">P06</x:t>
        </x:is>
      </x:c>
      <x:c r="B478" t="inlineStr">
        <x:is>
          <x:t xml:space="preserve">C3_L3_2</x:t>
        </x:is>
      </x:c>
      <x:c r="C478" t="n">
        <x:v>1</x:v>
      </x:c>
    </x:row>
    <x:row r="479">
      <x:c r="A479" t="inlineStr">
        <x:is>
          <x:t xml:space="preserve">P06</x:t>
        </x:is>
      </x:c>
      <x:c r="B479" t="inlineStr">
        <x:is>
          <x:t xml:space="preserve">C4_D1_1</x:t>
        </x:is>
      </x:c>
      <x:c r="C479" t="n">
        <x:v>1</x:v>
      </x:c>
    </x:row>
    <x:row r="480">
      <x:c r="A480" t="inlineStr">
        <x:is>
          <x:t xml:space="preserve">P06</x:t>
        </x:is>
      </x:c>
      <x:c r="B480" t="inlineStr">
        <x:is>
          <x:t xml:space="preserve">C4_D2_4</x:t>
        </x:is>
      </x:c>
      <x:c r="C480" t="n">
        <x:v>1</x:v>
      </x:c>
    </x:row>
    <x:row r="481">
      <x:c r="A481" t="inlineStr">
        <x:is>
          <x:t xml:space="preserve">P06</x:t>
        </x:is>
      </x:c>
      <x:c r="B481" t="inlineStr">
        <x:is>
          <x:t xml:space="preserve">C4_D3_1</x:t>
        </x:is>
      </x:c>
      <x:c r="C481" t="n">
        <x:v>1</x:v>
      </x:c>
    </x:row>
    <x:row r="482">
      <x:c r="A482" t="inlineStr">
        <x:is>
          <x:t xml:space="preserve">P06</x:t>
        </x:is>
      </x:c>
      <x:c r="B482" t="inlineStr">
        <x:is>
          <x:t xml:space="preserve">C4_D3_4</x:t>
        </x:is>
      </x:c>
      <x:c r="C482" t="n">
        <x:v>1</x:v>
      </x:c>
    </x:row>
    <x:row r="483">
      <x:c r="A483" t="inlineStr">
        <x:is>
          <x:t xml:space="preserve">P06</x:t>
        </x:is>
      </x:c>
      <x:c r="B483" t="inlineStr">
        <x:is>
          <x:t xml:space="preserve">C4_D4_3</x:t>
        </x:is>
      </x:c>
      <x:c r="C483" t="n">
        <x:v>1</x:v>
      </x:c>
    </x:row>
    <x:row r="484">
      <x:c r="A484" t="inlineStr">
        <x:is>
          <x:t xml:space="preserve">P06</x:t>
        </x:is>
      </x:c>
      <x:c r="B484" t="inlineStr">
        <x:is>
          <x:t xml:space="preserve">C4_D5_5</x:t>
        </x:is>
      </x:c>
      <x:c r="C484" t="n">
        <x:v>1</x:v>
      </x:c>
    </x:row>
    <x:row r="485">
      <x:c r="A485" t="inlineStr">
        <x:is>
          <x:t xml:space="preserve">P06</x:t>
        </x:is>
      </x:c>
      <x:c r="B485" t="inlineStr">
        <x:is>
          <x:t xml:space="preserve">C4_L1_2</x:t>
        </x:is>
      </x:c>
      <x:c r="C485" t="n">
        <x:v>1</x:v>
      </x:c>
    </x:row>
    <x:row r="486">
      <x:c r="A486" t="inlineStr">
        <x:is>
          <x:t xml:space="preserve">P06</x:t>
        </x:is>
      </x:c>
      <x:c r="B486" t="inlineStr">
        <x:is>
          <x:t xml:space="preserve">C4_L2_3</x:t>
        </x:is>
      </x:c>
      <x:c r="C486" t="n">
        <x:v>1</x:v>
      </x:c>
    </x:row>
    <x:row r="487">
      <x:c r="A487" t="inlineStr">
        <x:is>
          <x:t xml:space="preserve">P06</x:t>
        </x:is>
      </x:c>
      <x:c r="B487" t="inlineStr">
        <x:is>
          <x:t xml:space="preserve">C4_L3_3</x:t>
        </x:is>
      </x:c>
      <x:c r="C487" t="n">
        <x:v>1</x:v>
      </x:c>
    </x:row>
    <x:row r="488">
      <x:c r="A488" t="inlineStr">
        <x:is>
          <x:t xml:space="preserve">P06</x:t>
        </x:is>
      </x:c>
      <x:c r="B488" t="inlineStr">
        <x:is>
          <x:t xml:space="preserve">C5_D1_5</x:t>
        </x:is>
      </x:c>
      <x:c r="C488" t="n">
        <x:v>1</x:v>
      </x:c>
    </x:row>
    <x:row r="489">
      <x:c r="A489" t="inlineStr">
        <x:is>
          <x:t xml:space="preserve">P06</x:t>
        </x:is>
      </x:c>
      <x:c r="B489" t="inlineStr">
        <x:is>
          <x:t xml:space="preserve">C5_D2_6</x:t>
        </x:is>
      </x:c>
      <x:c r="C489" t="n">
        <x:v>1</x:v>
      </x:c>
    </x:row>
    <x:row r="490">
      <x:c r="A490" t="inlineStr">
        <x:is>
          <x:t xml:space="preserve">P06</x:t>
        </x:is>
      </x:c>
      <x:c r="B490" t="inlineStr">
        <x:is>
          <x:t xml:space="preserve">C5_D3_1</x:t>
        </x:is>
      </x:c>
      <x:c r="C490" t="n">
        <x:v>1</x:v>
      </x:c>
    </x:row>
    <x:row r="491">
      <x:c r="A491" t="inlineStr">
        <x:is>
          <x:t xml:space="preserve">P06</x:t>
        </x:is>
      </x:c>
      <x:c r="B491" t="inlineStr">
        <x:is>
          <x:t xml:space="preserve">C5_D3_4</x:t>
        </x:is>
      </x:c>
      <x:c r="C491" t="n">
        <x:v>1</x:v>
      </x:c>
    </x:row>
    <x:row r="492">
      <x:c r="A492" t="inlineStr">
        <x:is>
          <x:t xml:space="preserve">P06</x:t>
        </x:is>
      </x:c>
      <x:c r="B492" t="inlineStr">
        <x:is>
          <x:t xml:space="preserve">C5_D4_1</x:t>
        </x:is>
      </x:c>
      <x:c r="C492" t="n">
        <x:v>1</x:v>
      </x:c>
    </x:row>
    <x:row r="493">
      <x:c r="A493" t="inlineStr">
        <x:is>
          <x:t xml:space="preserve">P06</x:t>
        </x:is>
      </x:c>
      <x:c r="B493" t="inlineStr">
        <x:is>
          <x:t xml:space="preserve">C5_D5_5</x:t>
        </x:is>
      </x:c>
      <x:c r="C493" t="n">
        <x:v>1</x:v>
      </x:c>
    </x:row>
    <x:row r="494">
      <x:c r="A494" t="inlineStr">
        <x:is>
          <x:t xml:space="preserve">P06</x:t>
        </x:is>
      </x:c>
      <x:c r="B494" t="inlineStr">
        <x:is>
          <x:t xml:space="preserve">C5_L1_6</x:t>
        </x:is>
      </x:c>
      <x:c r="C494" t="n">
        <x:v>1</x:v>
      </x:c>
    </x:row>
    <x:row r="495">
      <x:c r="A495" t="inlineStr">
        <x:is>
          <x:t xml:space="preserve">P06</x:t>
        </x:is>
      </x:c>
      <x:c r="B495" t="inlineStr">
        <x:is>
          <x:t xml:space="preserve">C5_L2_3</x:t>
        </x:is>
      </x:c>
      <x:c r="C495" t="n">
        <x:v>1</x:v>
      </x:c>
    </x:row>
    <x:row r="496">
      <x:c r="A496" t="inlineStr">
        <x:is>
          <x:t xml:space="preserve">P06</x:t>
        </x:is>
      </x:c>
      <x:c r="B496" t="inlineStr">
        <x:is>
          <x:t xml:space="preserve">C5_L3_2</x:t>
        </x:is>
      </x:c>
      <x:c r="C496" t="n">
        <x:v>1</x:v>
      </x:c>
    </x:row>
    <x:row r="497">
      <x:c r="A497" t="inlineStr">
        <x:is>
          <x:t xml:space="preserve">P06</x:t>
        </x:is>
      </x:c>
      <x:c r="B497" t="inlineStr">
        <x:is>
          <x:t xml:space="preserve">F1_4</x:t>
        </x:is>
      </x:c>
      <x:c r="C497" t="n">
        <x:v>1</x:v>
      </x:c>
    </x:row>
    <x:row r="498">
      <x:c r="A498" t="inlineStr">
        <x:is>
          <x:t xml:space="preserve">P06</x:t>
        </x:is>
      </x:c>
      <x:c r="B498" t="inlineStr">
        <x:is>
          <x:t xml:space="preserve">F2_1</x:t>
        </x:is>
      </x:c>
      <x:c r="C498" t="n">
        <x:v>1</x:v>
      </x:c>
    </x:row>
    <x:row r="499">
      <x:c r="A499" t="inlineStr">
        <x:is>
          <x:t xml:space="preserve">P06</x:t>
        </x:is>
      </x:c>
      <x:c r="B499" t="inlineStr">
        <x:is>
          <x:t xml:space="preserve">F2_3</x:t>
        </x:is>
      </x:c>
      <x:c r="C499" t="n">
        <x:v>1</x:v>
      </x:c>
    </x:row>
    <x:row r="500">
      <x:c r="A500" t="inlineStr">
        <x:is>
          <x:t xml:space="preserve">P06</x:t>
        </x:is>
      </x:c>
      <x:c r="B500" t="inlineStr">
        <x:is>
          <x:t xml:space="preserve">G1_4</x:t>
        </x:is>
      </x:c>
      <x:c r="C500" t="n">
        <x:v>1</x:v>
      </x:c>
    </x:row>
    <x:row r="501">
      <x:c r="A501" t="inlineStr">
        <x:is>
          <x:t xml:space="preserve">P06</x:t>
        </x:is>
      </x:c>
      <x:c r="B501" t="inlineStr">
        <x:is>
          <x:t xml:space="preserve">G2_4</x:t>
        </x:is>
      </x:c>
      <x:c r="C501" t="n">
        <x:v>1</x:v>
      </x:c>
    </x:row>
    <x:row r="502">
      <x:c r="A502" t="inlineStr">
        <x:is>
          <x:t xml:space="preserve">P06</x:t>
        </x:is>
      </x:c>
      <x:c r="B502" t="inlineStr">
        <x:is>
          <x:t xml:space="preserve">G3_4</x:t>
        </x:is>
      </x:c>
      <x:c r="C502" t="n">
        <x:v>1</x:v>
      </x:c>
    </x:row>
    <x:row r="503">
      <x:c r="A503" t="inlineStr">
        <x:is>
          <x:t xml:space="preserve">P06</x:t>
        </x:is>
      </x:c>
      <x:c r="B503" t="inlineStr">
        <x:is>
          <x:t xml:space="preserve">G4_4</x:t>
        </x:is>
      </x:c>
      <x:c r="C503" t="n">
        <x:v>1</x:v>
      </x:c>
    </x:row>
    <x:row r="504">
      <x:c r="A504" t="inlineStr">
        <x:is>
          <x:t xml:space="preserve">P06</x:t>
        </x:is>
      </x:c>
      <x:c r="B504" t="inlineStr">
        <x:is>
          <x:t xml:space="preserve">G5_5</x:t>
        </x:is>
      </x:c>
      <x:c r="C504" t="n">
        <x:v>1</x:v>
      </x:c>
    </x:row>
    <x:row r="505">
      <x:c r="A505" t="inlineStr">
        <x:is>
          <x:t xml:space="preserve">P06</x:t>
        </x:is>
      </x:c>
      <x:c r="B505" t="inlineStr">
        <x:is>
          <x:t xml:space="preserve">G6_4</x:t>
        </x:is>
      </x:c>
      <x:c r="C505" t="n">
        <x:v>1</x:v>
      </x:c>
    </x:row>
    <x:row r="506">
      <x:c r="A506" t="inlineStr">
        <x:is>
          <x:t xml:space="preserve">P06</x:t>
        </x:is>
      </x:c>
      <x:c r="B506" t="inlineStr">
        <x:is>
          <x:t xml:space="preserve">G7_5</x:t>
        </x:is>
      </x:c>
      <x:c r="C506" t="n">
        <x:v>1</x:v>
      </x:c>
    </x:row>
    <x:row r="507">
      <x:c r="A507" t="inlineStr">
        <x:is>
          <x:t xml:space="preserve">P06</x:t>
        </x:is>
      </x:c>
      <x:c r="B507" t="inlineStr">
        <x:is>
          <x:t xml:space="preserve">P0A_2</x:t>
        </x:is>
      </x:c>
      <x:c r="C507" t="n">
        <x:v>1</x:v>
      </x:c>
    </x:row>
    <x:row r="508">
      <x:c r="A508" t="inlineStr">
        <x:is>
          <x:t xml:space="preserve">P06</x:t>
        </x:is>
      </x:c>
      <x:c r="B508" t="inlineStr">
        <x:is>
          <x:t xml:space="preserve">P0B_2</x:t>
        </x:is>
      </x:c>
      <x:c r="C508" t="n">
        <x:v>1</x:v>
      </x:c>
    </x:row>
    <x:row r="509">
      <x:c r="A509" t="inlineStr">
        <x:is>
          <x:t xml:space="preserve">P06</x:t>
        </x:is>
      </x:c>
      <x:c r="B509" t="inlineStr">
        <x:is>
          <x:t xml:space="preserve">P0C_2</x:t>
        </x:is>
      </x:c>
      <x:c r="C509" t="n">
        <x:v>1</x:v>
      </x:c>
    </x:row>
    <x:row r="510">
      <x:c r="A510" t="inlineStr">
        <x:is>
          <x:t xml:space="preserve">P06</x:t>
        </x:is>
      </x:c>
      <x:c r="B510" t="inlineStr">
        <x:is>
          <x:t xml:space="preserve">PROF_1</x:t>
        </x:is>
      </x:c>
      <x:c r="C510" t="n">
        <x:v>1</x:v>
      </x:c>
    </x:row>
    <x:row r="511">
      <x:c r="A511" t="inlineStr">
        <x:is>
          <x:t xml:space="preserve">P06</x:t>
        </x:is>
      </x:c>
      <x:c r="B511" t="inlineStr">
        <x:is>
          <x:t xml:space="preserve">Q1_2</x:t>
        </x:is>
      </x:c>
      <x:c r="C511" t="n">
        <x:v>1</x:v>
      </x:c>
    </x:row>
    <x:row r="512">
      <x:c r="A512" t="inlineStr">
        <x:is>
          <x:t xml:space="preserve">P06</x:t>
        </x:is>
      </x:c>
      <x:c r="B512" t="inlineStr">
        <x:is>
          <x:t xml:space="preserve">Q2_1</x:t>
        </x:is>
      </x:c>
      <x:c r="C512" t="n">
        <x:v>1</x:v>
      </x:c>
    </x:row>
    <x:row r="513">
      <x:c r="A513" t="inlineStr">
        <x:is>
          <x:t xml:space="preserve">P06</x:t>
        </x:is>
      </x:c>
      <x:c r="B513" t="inlineStr">
        <x:is>
          <x:t xml:space="preserve">Q3_2</x:t>
        </x:is>
      </x:c>
      <x:c r="C513" t="n">
        <x:v>1</x:v>
      </x:c>
    </x:row>
    <x:row r="514">
      <x:c r="A514" t="inlineStr">
        <x:is>
          <x:t xml:space="preserve">P06</x:t>
        </x:is>
      </x:c>
      <x:c r="B514" t="inlineStr">
        <x:is>
          <x:t xml:space="preserve">Q4_2</x:t>
        </x:is>
      </x:c>
      <x:c r="C514" t="n">
        <x:v>1</x:v>
      </x:c>
    </x:row>
    <x:row r="515">
      <x:c r="A515" t="inlineStr">
        <x:is>
          <x:t xml:space="preserve">P06</x:t>
        </x:is>
      </x:c>
      <x:c r="B515" t="inlineStr">
        <x:is>
          <x:t xml:space="preserve">Q5_2</x:t>
        </x:is>
      </x:c>
      <x:c r="C515" t="n">
        <x:v>1</x:v>
      </x:c>
    </x:row>
    <x:row r="516">
      <x:c r="A516" t="inlineStr">
        <x:is>
          <x:t xml:space="preserve">P06</x:t>
        </x:is>
      </x:c>
      <x:c r="B516" t="inlineStr">
        <x:is>
          <x:t xml:space="preserve">S10_2</x:t>
        </x:is>
      </x:c>
      <x:c r="C516" t="n">
        <x:v>1</x:v>
      </x:c>
    </x:row>
    <x:row r="517">
      <x:c r="A517" t="inlineStr">
        <x:is>
          <x:t xml:space="preserve">P06</x:t>
        </x:is>
      </x:c>
      <x:c r="B517" t="inlineStr">
        <x:is>
          <x:t xml:space="preserve">S1_5</x:t>
        </x:is>
      </x:c>
      <x:c r="C517" t="n">
        <x:v>1</x:v>
      </x:c>
    </x:row>
    <x:row r="518">
      <x:c r="A518" t="inlineStr">
        <x:is>
          <x:t xml:space="preserve">P06</x:t>
        </x:is>
      </x:c>
      <x:c r="B518" t="inlineStr">
        <x:is>
          <x:t xml:space="preserve">S2_1</x:t>
        </x:is>
      </x:c>
      <x:c r="C518" t="n">
        <x:v>1</x:v>
      </x:c>
    </x:row>
    <x:row r="519">
      <x:c r="A519" t="inlineStr">
        <x:is>
          <x:t xml:space="preserve">P06</x:t>
        </x:is>
      </x:c>
      <x:c r="B519" t="inlineStr">
        <x:is>
          <x:t xml:space="preserve">S3_5</x:t>
        </x:is>
      </x:c>
      <x:c r="C519" t="n">
        <x:v>1</x:v>
      </x:c>
    </x:row>
    <x:row r="520">
      <x:c r="A520" t="inlineStr">
        <x:is>
          <x:t xml:space="preserve">P06</x:t>
        </x:is>
      </x:c>
      <x:c r="B520" t="inlineStr">
        <x:is>
          <x:t xml:space="preserve">S4_5</x:t>
        </x:is>
      </x:c>
      <x:c r="C520" t="n">
        <x:v>1</x:v>
      </x:c>
    </x:row>
    <x:row r="521">
      <x:c r="A521" t="inlineStr">
        <x:is>
          <x:t xml:space="preserve">P06</x:t>
        </x:is>
      </x:c>
      <x:c r="B521" t="inlineStr">
        <x:is>
          <x:t xml:space="preserve">S5_4</x:t>
        </x:is>
      </x:c>
      <x:c r="C521" t="n">
        <x:v>1</x:v>
      </x:c>
    </x:row>
    <x:row r="522">
      <x:c r="A522" t="inlineStr">
        <x:is>
          <x:t xml:space="preserve">P06</x:t>
        </x:is>
      </x:c>
      <x:c r="B522" t="inlineStr">
        <x:is>
          <x:t xml:space="preserve">S6_1</x:t>
        </x:is>
      </x:c>
      <x:c r="C522" t="n">
        <x:v>1</x:v>
      </x:c>
    </x:row>
    <x:row r="523">
      <x:c r="A523" t="inlineStr">
        <x:is>
          <x:t xml:space="preserve">P06</x:t>
        </x:is>
      </x:c>
      <x:c r="B523" t="inlineStr">
        <x:is>
          <x:t xml:space="preserve">S7_4</x:t>
        </x:is>
      </x:c>
      <x:c r="C523" t="n">
        <x:v>1</x:v>
      </x:c>
    </x:row>
    <x:row r="524">
      <x:c r="A524" t="inlineStr">
        <x:is>
          <x:t xml:space="preserve">P06</x:t>
        </x:is>
      </x:c>
      <x:c r="B524" t="inlineStr">
        <x:is>
          <x:t xml:space="preserve">S8_2</x:t>
        </x:is>
      </x:c>
      <x:c r="C524" t="n">
        <x:v>1</x:v>
      </x:c>
    </x:row>
    <x:row r="525">
      <x:c r="A525" t="inlineStr">
        <x:is>
          <x:t xml:space="preserve">P06</x:t>
        </x:is>
      </x:c>
      <x:c r="B525" t="inlineStr">
        <x:is>
          <x:t xml:space="preserve">S9_5</x:t>
        </x:is>
      </x:c>
      <x:c r="C525" t="n">
        <x:v>1</x:v>
      </x:c>
    </x:row>
    <x:row r="526">
      <x:c r="A526" t="inlineStr">
        <x:is>
          <x:t xml:space="preserve">P06</x:t>
        </x:is>
      </x:c>
      <x:c r="B526" t="inlineStr">
        <x:is>
          <x:t xml:space="preserve">TOK_C_1</x:t>
        </x:is>
      </x:c>
      <x:c r="C526" t="n">
        <x:v>1</x:v>
      </x:c>
    </x:row>
    <x:row r="527">
      <x:c r="A527" t="inlineStr">
        <x:is>
          <x:t xml:space="preserve">P06</x:t>
        </x:is>
      </x:c>
      <x:c r="B527" t="inlineStr">
        <x:is>
          <x:t xml:space="preserve">TOK_C_2</x:t>
        </x:is>
      </x:c>
      <x:c r="C527" t="n">
        <x:v>1</x:v>
      </x:c>
    </x:row>
    <x:row r="528">
      <x:c r="A528" t="inlineStr">
        <x:is>
          <x:t xml:space="preserve">P06</x:t>
        </x:is>
      </x:c>
      <x:c r="B528" t="inlineStr">
        <x:is>
          <x:t xml:space="preserve">TOK_C_3</x:t>
        </x:is>
      </x:c>
      <x:c r="C528" t="n">
        <x:v>1</x:v>
      </x:c>
    </x:row>
    <x:row r="529">
      <x:c r="A529" t="inlineStr">
        <x:is>
          <x:t xml:space="preserve">P06</x:t>
        </x:is>
      </x:c>
      <x:c r="B529" t="inlineStr">
        <x:is>
          <x:t xml:space="preserve">TOK_C_4</x:t>
        </x:is>
      </x:c>
      <x:c r="C529" t="n">
        <x:v>1</x:v>
      </x:c>
    </x:row>
    <x:row r="530">
      <x:c r="A530" t="inlineStr">
        <x:is>
          <x:t xml:space="preserve">P06</x:t>
        </x:is>
      </x:c>
      <x:c r="B530" t="inlineStr">
        <x:is>
          <x:t xml:space="preserve">TOK_C_5</x:t>
        </x:is>
      </x:c>
      <x:c r="C530" t="n">
        <x:v>1</x:v>
      </x:c>
    </x:row>
    <x:row r="531">
      <x:c r="A531" t="inlineStr">
        <x:is>
          <x:t xml:space="preserve">P06</x:t>
        </x:is>
      </x:c>
      <x:c r="B531" t="inlineStr">
        <x:is>
          <x:t xml:space="preserve">TOK_S_1</x:t>
        </x:is>
      </x:c>
      <x:c r="C531" t="n">
        <x:v>1</x:v>
      </x:c>
    </x:row>
    <x:row r="532">
      <x:c r="A532" t="inlineStr">
        <x:is>
          <x:t xml:space="preserve">P06</x:t>
        </x:is>
      </x:c>
      <x:c r="B532" t="inlineStr">
        <x:is>
          <x:t xml:space="preserve">TOK_T_1</x:t>
        </x:is>
      </x:c>
      <x:c r="C532" t="n">
        <x:v>1</x:v>
      </x:c>
    </x:row>
    <x:row r="533">
      <x:c r="A533" t="inlineStr">
        <x:is>
          <x:t xml:space="preserve">P06</x:t>
        </x:is>
      </x:c>
      <x:c r="B533" t="inlineStr">
        <x:is>
          <x:t xml:space="preserve">TOK_T_2</x:t>
        </x:is>
      </x:c>
      <x:c r="C533" t="n">
        <x:v>1</x:v>
      </x:c>
    </x:row>
    <x:row r="534">
      <x:c r="A534" t="inlineStr">
        <x:is>
          <x:t xml:space="preserve">P06</x:t>
        </x:is>
      </x:c>
      <x:c r="B534" t="inlineStr">
        <x:is>
          <x:t xml:space="preserve">TOK_T_3</x:t>
        </x:is>
      </x:c>
      <x:c r="C534" t="n">
        <x:v>1</x:v>
      </x:c>
    </x:row>
    <x:row r="535">
      <x:c r="A535" t="inlineStr">
        <x:is>
          <x:t xml:space="preserve">P06</x:t>
        </x:is>
      </x:c>
      <x:c r="B535" t="inlineStr">
        <x:is>
          <x:t xml:space="preserve">TOK_T_4</x:t>
        </x:is>
      </x:c>
      <x:c r="C535" t="n">
        <x:v>1</x:v>
      </x:c>
    </x:row>
    <x:row r="536">
      <x:c r="A536" t="inlineStr">
        <x:is>
          <x:t xml:space="preserve">P06</x:t>
        </x:is>
      </x:c>
      <x:c r="B536" t="inlineStr">
        <x:is>
          <x:t xml:space="preserve">V1_1_2</x:t>
        </x:is>
      </x:c>
      <x:c r="C536" t="n">
        <x:v>1</x:v>
      </x:c>
    </x:row>
    <x:row r="537">
      <x:c r="A537" t="inlineStr">
        <x:is>
          <x:t xml:space="preserve">P06</x:t>
        </x:is>
      </x:c>
      <x:c r="B537" t="inlineStr">
        <x:is>
          <x:t xml:space="preserve">V1_2_3</x:t>
        </x:is>
      </x:c>
      <x:c r="C537" t="n">
        <x:v>1</x:v>
      </x:c>
    </x:row>
    <x:row r="538">
      <x:c r="A538" t="inlineStr">
        <x:is>
          <x:t xml:space="preserve">P06</x:t>
        </x:is>
      </x:c>
      <x:c r="B538" t="inlineStr">
        <x:is>
          <x:t xml:space="preserve">V1_3_4</x:t>
        </x:is>
      </x:c>
      <x:c r="C538" t="n">
        <x:v>1</x:v>
      </x:c>
    </x:row>
    <x:row r="539">
      <x:c r="A539" t="inlineStr">
        <x:is>
          <x:t xml:space="preserve">P06</x:t>
        </x:is>
      </x:c>
      <x:c r="B539" t="inlineStr">
        <x:is>
          <x:t xml:space="preserve">V2_1_2</x:t>
        </x:is>
      </x:c>
      <x:c r="C539" t="n">
        <x:v>1</x:v>
      </x:c>
    </x:row>
    <x:row r="540">
      <x:c r="A540" t="inlineStr">
        <x:is>
          <x:t xml:space="preserve">P06</x:t>
        </x:is>
      </x:c>
      <x:c r="B540" t="inlineStr">
        <x:is>
          <x:t xml:space="preserve">V2_2_3</x:t>
        </x:is>
      </x:c>
      <x:c r="C540" t="n">
        <x:v>1</x:v>
      </x:c>
    </x:row>
    <x:row r="541">
      <x:c r="A541" t="inlineStr">
        <x:is>
          <x:t xml:space="preserve">P06</x:t>
        </x:is>
      </x:c>
      <x:c r="B541" t="inlineStr">
        <x:is>
          <x:t xml:space="preserve">V2_3_5</x:t>
        </x:is>
      </x:c>
      <x:c r="C541" t="n">
        <x:v>1</x:v>
      </x:c>
    </x:row>
    <x:row r="542">
      <x:c r="A542" t="inlineStr">
        <x:is>
          <x:t xml:space="preserve">P06</x:t>
        </x:is>
      </x:c>
      <x:c r="B542" t="inlineStr">
        <x:is>
          <x:t xml:space="preserve">COMMENTO</x:t>
        </x:is>
      </x:c>
      <x:c r="C542" t="inlineStr">
        <x:is>
          <x:t xml:space="preserve">…………………………</x:t>
        </x:is>
      </x:c>
    </x:row>
    <x:row r="543">
      <x:c r="A543" t="inlineStr">
        <x:is>
          <x:t xml:space="preserve">P06</x:t>
        </x:is>
      </x:c>
      <x:c r="B543" t="inlineStr">
        <x:is>
          <x:t xml:space="preserve">T_FINE</x:t>
        </x:is>
      </x:c>
      <x:c r="C543" t="inlineStr">
        <x:is>
          <x:t xml:space="preserve">hh:mm</x:t>
        </x:is>
      </x:c>
    </x:row>
    <x:row r="544">
      <x:c r="A544" t="inlineStr">
        <x:is>
          <x:t xml:space="preserve">P06</x:t>
        </x:is>
      </x:c>
      <x:c r="B544" t="inlineStr">
        <x:is>
          <x:t xml:space="preserve">T_INIZIO</x:t>
        </x:is>
      </x:c>
      <x:c r="C544" t="inlineStr">
        <x:is>
          <x:t xml:space="preserve">hh:mm</x:t>
        </x:is>
      </x:c>
    </x:row>
    <x:row r="545">
      <x:c r="A545" t="inlineStr">
        <x:is>
          <x:t xml:space="preserve">P07</x:t>
        </x:is>
      </x:c>
      <x:c r="B545" t="inlineStr">
        <x:is>
          <x:t xml:space="preserve">ADESIONE_1</x:t>
        </x:is>
      </x:c>
      <x:c r="C545" t="n">
        <x:v>1</x:v>
      </x:c>
    </x:row>
    <x:row r="546">
      <x:c r="A546" t="inlineStr">
        <x:is>
          <x:t xml:space="preserve">P07</x:t>
        </x:is>
      </x:c>
      <x:c r="B546" t="inlineStr">
        <x:is>
          <x:t xml:space="preserve">C1_D1_1</x:t>
        </x:is>
      </x:c>
      <x:c r="C546" t="n">
        <x:v>1</x:v>
      </x:c>
    </x:row>
    <x:row r="547">
      <x:c r="A547" t="inlineStr">
        <x:is>
          <x:t xml:space="preserve">P07</x:t>
        </x:is>
      </x:c>
      <x:c r="B547" t="inlineStr">
        <x:is>
          <x:t xml:space="preserve">C1_D2_4</x:t>
        </x:is>
      </x:c>
      <x:c r="C547" t="n">
        <x:v>1</x:v>
      </x:c>
    </x:row>
    <x:row r="548">
      <x:c r="A548" t="inlineStr">
        <x:is>
          <x:t xml:space="preserve">P07</x:t>
        </x:is>
      </x:c>
      <x:c r="B548" t="inlineStr">
        <x:is>
          <x:t xml:space="preserve">C1_D3_2</x:t>
        </x:is>
      </x:c>
      <x:c r="C548" t="n">
        <x:v>1</x:v>
      </x:c>
    </x:row>
    <x:row r="549">
      <x:c r="A549" t="inlineStr">
        <x:is>
          <x:t xml:space="preserve">P07</x:t>
        </x:is>
      </x:c>
      <x:c r="B549" t="inlineStr">
        <x:is>
          <x:t xml:space="preserve">C1_D3_5</x:t>
        </x:is>
      </x:c>
      <x:c r="C549" t="n">
        <x:v>1</x:v>
      </x:c>
    </x:row>
    <x:row r="550">
      <x:c r="A550" t="inlineStr">
        <x:is>
          <x:t xml:space="preserve">P07</x:t>
        </x:is>
      </x:c>
      <x:c r="B550" t="inlineStr">
        <x:is>
          <x:t xml:space="preserve">C1_D4_8</x:t>
        </x:is>
      </x:c>
      <x:c r="C550" t="n">
        <x:v>1</x:v>
      </x:c>
    </x:row>
    <x:row r="551">
      <x:c r="A551" t="inlineStr">
        <x:is>
          <x:t xml:space="preserve">P07</x:t>
        </x:is>
      </x:c>
      <x:c r="B551" t="inlineStr">
        <x:is>
          <x:t xml:space="preserve">C1_D5_7</x:t>
        </x:is>
      </x:c>
      <x:c r="C551" t="n">
        <x:v>1</x:v>
      </x:c>
    </x:row>
    <x:row r="552">
      <x:c r="A552" t="inlineStr">
        <x:is>
          <x:t xml:space="preserve">P07</x:t>
        </x:is>
      </x:c>
      <x:c r="B552" t="inlineStr">
        <x:is>
          <x:t xml:space="preserve">C1_L1_2</x:t>
        </x:is>
      </x:c>
      <x:c r="C552" t="n">
        <x:v>1</x:v>
      </x:c>
    </x:row>
    <x:row r="553">
      <x:c r="A553" t="inlineStr">
        <x:is>
          <x:t xml:space="preserve">P07</x:t>
        </x:is>
      </x:c>
      <x:c r="B553" t="inlineStr">
        <x:is>
          <x:t xml:space="preserve">C1_L2_4</x:t>
        </x:is>
      </x:c>
      <x:c r="C553" t="n">
        <x:v>1</x:v>
      </x:c>
    </x:row>
    <x:row r="554">
      <x:c r="A554" t="inlineStr">
        <x:is>
          <x:t xml:space="preserve">P07</x:t>
        </x:is>
      </x:c>
      <x:c r="B554" t="inlineStr">
        <x:is>
          <x:t xml:space="preserve">C1_L3_1</x:t>
        </x:is>
      </x:c>
      <x:c r="C554" t="n">
        <x:v>1</x:v>
      </x:c>
    </x:row>
    <x:row r="555">
      <x:c r="A555" t="inlineStr">
        <x:is>
          <x:t xml:space="preserve">P07</x:t>
        </x:is>
      </x:c>
      <x:c r="B555" t="inlineStr">
        <x:is>
          <x:t xml:space="preserve">C2_D1_1</x:t>
        </x:is>
      </x:c>
      <x:c r="C555" t="n">
        <x:v>1</x:v>
      </x:c>
    </x:row>
    <x:row r="556">
      <x:c r="A556" t="inlineStr">
        <x:is>
          <x:t xml:space="preserve">P07</x:t>
        </x:is>
      </x:c>
      <x:c r="B556" t="inlineStr">
        <x:is>
          <x:t xml:space="preserve">C2_D2_4</x:t>
        </x:is>
      </x:c>
      <x:c r="C556" t="n">
        <x:v>1</x:v>
      </x:c>
    </x:row>
    <x:row r="557">
      <x:c r="A557" t="inlineStr">
        <x:is>
          <x:t xml:space="preserve">P07</x:t>
        </x:is>
      </x:c>
      <x:c r="B557" t="inlineStr">
        <x:is>
          <x:t xml:space="preserve">C2_D3_2</x:t>
        </x:is>
      </x:c>
      <x:c r="C557" t="n">
        <x:v>1</x:v>
      </x:c>
    </x:row>
    <x:row r="558">
      <x:c r="A558" t="inlineStr">
        <x:is>
          <x:t xml:space="preserve">P07</x:t>
        </x:is>
      </x:c>
      <x:c r="B558" t="inlineStr">
        <x:is>
          <x:t xml:space="preserve">C2_D3_8</x:t>
        </x:is>
      </x:c>
      <x:c r="C558" t="n">
        <x:v>1</x:v>
      </x:c>
    </x:row>
    <x:row r="559">
      <x:c r="A559" t="inlineStr">
        <x:is>
          <x:t xml:space="preserve">P07</x:t>
        </x:is>
      </x:c>
      <x:c r="B559" t="inlineStr">
        <x:is>
          <x:t xml:space="preserve">C2_D4_5</x:t>
        </x:is>
      </x:c>
      <x:c r="C559" t="n">
        <x:v>1</x:v>
      </x:c>
    </x:row>
    <x:row r="560">
      <x:c r="A560" t="inlineStr">
        <x:is>
          <x:t xml:space="preserve">P07</x:t>
        </x:is>
      </x:c>
      <x:c r="B560" t="inlineStr">
        <x:is>
          <x:t xml:space="preserve">C2_D5_5</x:t>
        </x:is>
      </x:c>
      <x:c r="C560" t="n">
        <x:v>1</x:v>
      </x:c>
    </x:row>
    <x:row r="561">
      <x:c r="A561" t="inlineStr">
        <x:is>
          <x:t xml:space="preserve">P07</x:t>
        </x:is>
      </x:c>
      <x:c r="B561" t="inlineStr">
        <x:is>
          <x:t xml:space="preserve">C2_L1_2</x:t>
        </x:is>
      </x:c>
      <x:c r="C561" t="n">
        <x:v>1</x:v>
      </x:c>
    </x:row>
    <x:row r="562">
      <x:c r="A562" t="inlineStr">
        <x:is>
          <x:t xml:space="preserve">P07</x:t>
        </x:is>
      </x:c>
      <x:c r="B562" t="inlineStr">
        <x:is>
          <x:t xml:space="preserve">C2_L2_2</x:t>
        </x:is>
      </x:c>
      <x:c r="C562" t="n">
        <x:v>1</x:v>
      </x:c>
    </x:row>
    <x:row r="563">
      <x:c r="A563" t="inlineStr">
        <x:is>
          <x:t xml:space="preserve">P07</x:t>
        </x:is>
      </x:c>
      <x:c r="B563" t="inlineStr">
        <x:is>
          <x:t xml:space="preserve">C2_L3_4</x:t>
        </x:is>
      </x:c>
      <x:c r="C563" t="n">
        <x:v>1</x:v>
      </x:c>
    </x:row>
    <x:row r="564">
      <x:c r="A564" t="inlineStr">
        <x:is>
          <x:t xml:space="preserve">P07</x:t>
        </x:is>
      </x:c>
      <x:c r="B564" t="inlineStr">
        <x:is>
          <x:t xml:space="preserve">C3_D1_3</x:t>
        </x:is>
      </x:c>
      <x:c r="C564" t="n">
        <x:v>1</x:v>
      </x:c>
    </x:row>
    <x:row r="565">
      <x:c r="A565" t="inlineStr">
        <x:is>
          <x:t xml:space="preserve">P07</x:t>
        </x:is>
      </x:c>
      <x:c r="B565" t="inlineStr">
        <x:is>
          <x:t xml:space="preserve">C3_D2_7</x:t>
        </x:is>
      </x:c>
      <x:c r="C565" t="n">
        <x:v>1</x:v>
      </x:c>
    </x:row>
    <x:row r="566">
      <x:c r="A566" t="inlineStr">
        <x:is>
          <x:t xml:space="preserve">P07</x:t>
        </x:is>
      </x:c>
      <x:c r="B566" t="inlineStr">
        <x:is>
          <x:t xml:space="preserve">C3_D3_3</x:t>
        </x:is>
      </x:c>
      <x:c r="C566" t="n">
        <x:v>1</x:v>
      </x:c>
    </x:row>
    <x:row r="567">
      <x:c r="A567" t="inlineStr">
        <x:is>
          <x:t xml:space="preserve">P07</x:t>
        </x:is>
      </x:c>
      <x:c r="B567" t="inlineStr">
        <x:is>
          <x:t xml:space="preserve">C3_D3_8</x:t>
        </x:is>
      </x:c>
      <x:c r="C567" t="n">
        <x:v>1</x:v>
      </x:c>
    </x:row>
    <x:row r="568">
      <x:c r="A568" t="inlineStr">
        <x:is>
          <x:t xml:space="preserve">P07</x:t>
        </x:is>
      </x:c>
      <x:c r="B568" t="inlineStr">
        <x:is>
          <x:t xml:space="preserve">C3_D4_4</x:t>
        </x:is>
      </x:c>
      <x:c r="C568" t="n">
        <x:v>1</x:v>
      </x:c>
    </x:row>
    <x:row r="569">
      <x:c r="A569" t="inlineStr">
        <x:is>
          <x:t xml:space="preserve">P07</x:t>
        </x:is>
      </x:c>
      <x:c r="B569" t="inlineStr">
        <x:is>
          <x:t xml:space="preserve">C3_D5_7</x:t>
        </x:is>
      </x:c>
      <x:c r="C569" t="n">
        <x:v>1</x:v>
      </x:c>
    </x:row>
    <x:row r="570">
      <x:c r="A570" t="inlineStr">
        <x:is>
          <x:t xml:space="preserve">P07</x:t>
        </x:is>
      </x:c>
      <x:c r="B570" t="inlineStr">
        <x:is>
          <x:t xml:space="preserve">C3_L1_3</x:t>
        </x:is>
      </x:c>
      <x:c r="C570" t="n">
        <x:v>1</x:v>
      </x:c>
    </x:row>
    <x:row r="571">
      <x:c r="A571" t="inlineStr">
        <x:is>
          <x:t xml:space="preserve">P07</x:t>
        </x:is>
      </x:c>
      <x:c r="B571" t="inlineStr">
        <x:is>
          <x:t xml:space="preserve">C3_L2_2</x:t>
        </x:is>
      </x:c>
      <x:c r="C571" t="n">
        <x:v>1</x:v>
      </x:c>
    </x:row>
    <x:row r="572">
      <x:c r="A572" t="inlineStr">
        <x:is>
          <x:t xml:space="preserve">P07</x:t>
        </x:is>
      </x:c>
      <x:c r="B572" t="inlineStr">
        <x:is>
          <x:t xml:space="preserve">C3_L3_2</x:t>
        </x:is>
      </x:c>
      <x:c r="C572" t="n">
        <x:v>1</x:v>
      </x:c>
    </x:row>
    <x:row r="573">
      <x:c r="A573" t="inlineStr">
        <x:is>
          <x:t xml:space="preserve">P07</x:t>
        </x:is>
      </x:c>
      <x:c r="B573" t="inlineStr">
        <x:is>
          <x:t xml:space="preserve">C4_D1_4</x:t>
        </x:is>
      </x:c>
      <x:c r="C573" t="n">
        <x:v>1</x:v>
      </x:c>
    </x:row>
    <x:row r="574">
      <x:c r="A574" t="inlineStr">
        <x:is>
          <x:t xml:space="preserve">P07</x:t>
        </x:is>
      </x:c>
      <x:c r="B574" t="inlineStr">
        <x:is>
          <x:t xml:space="preserve">C4_D2_6</x:t>
        </x:is>
      </x:c>
      <x:c r="C574" t="n">
        <x:v>1</x:v>
      </x:c>
    </x:row>
    <x:row r="575">
      <x:c r="A575" t="inlineStr">
        <x:is>
          <x:t xml:space="preserve">P07</x:t>
        </x:is>
      </x:c>
      <x:c r="B575" t="inlineStr">
        <x:is>
          <x:t xml:space="preserve">C4_D3_3</x:t>
        </x:is>
      </x:c>
      <x:c r="C575" t="n">
        <x:v>1</x:v>
      </x:c>
    </x:row>
    <x:row r="576">
      <x:c r="A576" t="inlineStr">
        <x:is>
          <x:t xml:space="preserve">P07</x:t>
        </x:is>
      </x:c>
      <x:c r="B576" t="inlineStr">
        <x:is>
          <x:t xml:space="preserve">C4_D3_6</x:t>
        </x:is>
      </x:c>
      <x:c r="C576" t="n">
        <x:v>1</x:v>
      </x:c>
    </x:row>
    <x:row r="577">
      <x:c r="A577" t="inlineStr">
        <x:is>
          <x:t xml:space="preserve">P07</x:t>
        </x:is>
      </x:c>
      <x:c r="B577" t="inlineStr">
        <x:is>
          <x:t xml:space="preserve">C4_D4_5</x:t>
        </x:is>
      </x:c>
      <x:c r="C577" t="n">
        <x:v>1</x:v>
      </x:c>
    </x:row>
    <x:row r="578">
      <x:c r="A578" t="inlineStr">
        <x:is>
          <x:t xml:space="preserve">P07</x:t>
        </x:is>
      </x:c>
      <x:c r="B578" t="inlineStr">
        <x:is>
          <x:t xml:space="preserve">C4_D5_6</x:t>
        </x:is>
      </x:c>
      <x:c r="C578" t="n">
        <x:v>1</x:v>
      </x:c>
    </x:row>
    <x:row r="579">
      <x:c r="A579" t="inlineStr">
        <x:is>
          <x:t xml:space="preserve">P07</x:t>
        </x:is>
      </x:c>
      <x:c r="B579" t="inlineStr">
        <x:is>
          <x:t xml:space="preserve">C4_L1_4</x:t>
        </x:is>
      </x:c>
      <x:c r="C579" t="n">
        <x:v>1</x:v>
      </x:c>
    </x:row>
    <x:row r="580">
      <x:c r="A580" t="inlineStr">
        <x:is>
          <x:t xml:space="preserve">P07</x:t>
        </x:is>
      </x:c>
      <x:c r="B580" t="inlineStr">
        <x:is>
          <x:t xml:space="preserve">C4_L2_3</x:t>
        </x:is>
      </x:c>
      <x:c r="C580" t="n">
        <x:v>1</x:v>
      </x:c>
    </x:row>
    <x:row r="581">
      <x:c r="A581" t="inlineStr">
        <x:is>
          <x:t xml:space="preserve">P07</x:t>
        </x:is>
      </x:c>
      <x:c r="B581" t="inlineStr">
        <x:is>
          <x:t xml:space="preserve">C4_L3_2</x:t>
        </x:is>
      </x:c>
      <x:c r="C581" t="n">
        <x:v>1</x:v>
      </x:c>
    </x:row>
    <x:row r="582">
      <x:c r="A582" t="inlineStr">
        <x:is>
          <x:t xml:space="preserve">P07</x:t>
        </x:is>
      </x:c>
      <x:c r="B582" t="inlineStr">
        <x:is>
          <x:t xml:space="preserve">C5_D1_6</x:t>
        </x:is>
      </x:c>
      <x:c r="C582" t="n">
        <x:v>1</x:v>
      </x:c>
    </x:row>
    <x:row r="583">
      <x:c r="A583" t="inlineStr">
        <x:is>
          <x:t xml:space="preserve">P07</x:t>
        </x:is>
      </x:c>
      <x:c r="B583" t="inlineStr">
        <x:is>
          <x:t xml:space="preserve">C5_D2_7</x:t>
        </x:is>
      </x:c>
      <x:c r="C583" t="n">
        <x:v>1</x:v>
      </x:c>
    </x:row>
    <x:row r="584">
      <x:c r="A584" t="inlineStr">
        <x:is>
          <x:t xml:space="preserve">P07</x:t>
        </x:is>
      </x:c>
      <x:c r="B584" t="inlineStr">
        <x:is>
          <x:t xml:space="preserve">C5_D3_3</x:t>
        </x:is>
      </x:c>
      <x:c r="C584" t="n">
        <x:v>1</x:v>
      </x:c>
    </x:row>
    <x:row r="585">
      <x:c r="A585" t="inlineStr">
        <x:is>
          <x:t xml:space="preserve">P07</x:t>
        </x:is>
      </x:c>
      <x:c r="B585" t="inlineStr">
        <x:is>
          <x:t xml:space="preserve">C5_D3_8</x:t>
        </x:is>
      </x:c>
      <x:c r="C585" t="n">
        <x:v>1</x:v>
      </x:c>
    </x:row>
    <x:row r="586">
      <x:c r="A586" t="inlineStr">
        <x:is>
          <x:t xml:space="preserve">P07</x:t>
        </x:is>
      </x:c>
      <x:c r="B586" t="inlineStr">
        <x:is>
          <x:t xml:space="preserve">C5_D4_5</x:t>
        </x:is>
      </x:c>
      <x:c r="C586" t="n">
        <x:v>1</x:v>
      </x:c>
    </x:row>
    <x:row r="587">
      <x:c r="A587" t="inlineStr">
        <x:is>
          <x:t xml:space="preserve">P07</x:t>
        </x:is>
      </x:c>
      <x:c r="B587" t="inlineStr">
        <x:is>
          <x:t xml:space="preserve">C5_D5_5</x:t>
        </x:is>
      </x:c>
      <x:c r="C587" t="n">
        <x:v>1</x:v>
      </x:c>
    </x:row>
    <x:row r="588">
      <x:c r="A588" t="inlineStr">
        <x:is>
          <x:t xml:space="preserve">P07</x:t>
        </x:is>
      </x:c>
      <x:c r="B588" t="inlineStr">
        <x:is>
          <x:t xml:space="preserve">C5_L1_6</x:t>
        </x:is>
      </x:c>
      <x:c r="C588" t="n">
        <x:v>1</x:v>
      </x:c>
    </x:row>
    <x:row r="589">
      <x:c r="A589" t="inlineStr">
        <x:is>
          <x:t xml:space="preserve">P07</x:t>
        </x:is>
      </x:c>
      <x:c r="B589" t="inlineStr">
        <x:is>
          <x:t xml:space="preserve">C5_L2_5</x:t>
        </x:is>
      </x:c>
      <x:c r="C589" t="n">
        <x:v>1</x:v>
      </x:c>
    </x:row>
    <x:row r="590">
      <x:c r="A590" t="inlineStr">
        <x:is>
          <x:t xml:space="preserve">P07</x:t>
        </x:is>
      </x:c>
      <x:c r="B590" t="inlineStr">
        <x:is>
          <x:t xml:space="preserve">C5_L3_2</x:t>
        </x:is>
      </x:c>
      <x:c r="C590" t="n">
        <x:v>1</x:v>
      </x:c>
    </x:row>
    <x:row r="591">
      <x:c r="A591" t="inlineStr">
        <x:is>
          <x:t xml:space="preserve">P07</x:t>
        </x:is>
      </x:c>
      <x:c r="B591" t="inlineStr">
        <x:is>
          <x:t xml:space="preserve">F1_3</x:t>
        </x:is>
      </x:c>
      <x:c r="C591" t="n">
        <x:v>1</x:v>
      </x:c>
    </x:row>
    <x:row r="592">
      <x:c r="A592" t="inlineStr">
        <x:is>
          <x:t xml:space="preserve">P07</x:t>
        </x:is>
      </x:c>
      <x:c r="B592" t="inlineStr">
        <x:is>
          <x:t xml:space="preserve">F2_1</x:t>
        </x:is>
      </x:c>
      <x:c r="C592" t="n">
        <x:v>1</x:v>
      </x:c>
    </x:row>
    <x:row r="593">
      <x:c r="A593" t="inlineStr">
        <x:is>
          <x:t xml:space="preserve">P07</x:t>
        </x:is>
      </x:c>
      <x:c r="B593" t="inlineStr">
        <x:is>
          <x:t xml:space="preserve">F2_4</x:t>
        </x:is>
      </x:c>
      <x:c r="C593" t="n">
        <x:v>1</x:v>
      </x:c>
    </x:row>
    <x:row r="594">
      <x:c r="A594" t="inlineStr">
        <x:is>
          <x:t xml:space="preserve">P07</x:t>
        </x:is>
      </x:c>
      <x:c r="B594" t="inlineStr">
        <x:is>
          <x:t xml:space="preserve">G1_5</x:t>
        </x:is>
      </x:c>
      <x:c r="C594" t="n">
        <x:v>1</x:v>
      </x:c>
    </x:row>
    <x:row r="595">
      <x:c r="A595" t="inlineStr">
        <x:is>
          <x:t xml:space="preserve">P07</x:t>
        </x:is>
      </x:c>
      <x:c r="B595" t="inlineStr">
        <x:is>
          <x:t xml:space="preserve">G2_4</x:t>
        </x:is>
      </x:c>
      <x:c r="C595" t="n">
        <x:v>1</x:v>
      </x:c>
    </x:row>
    <x:row r="596">
      <x:c r="A596" t="inlineStr">
        <x:is>
          <x:t xml:space="preserve">P07</x:t>
        </x:is>
      </x:c>
      <x:c r="B596" t="inlineStr">
        <x:is>
          <x:t xml:space="preserve">G3_4</x:t>
        </x:is>
      </x:c>
      <x:c r="C596" t="n">
        <x:v>1</x:v>
      </x:c>
    </x:row>
    <x:row r="597">
      <x:c r="A597" t="inlineStr">
        <x:is>
          <x:t xml:space="preserve">P07</x:t>
        </x:is>
      </x:c>
      <x:c r="B597" t="inlineStr">
        <x:is>
          <x:t xml:space="preserve">G4_4</x:t>
        </x:is>
      </x:c>
      <x:c r="C597" t="n">
        <x:v>1</x:v>
      </x:c>
    </x:row>
    <x:row r="598">
      <x:c r="A598" t="inlineStr">
        <x:is>
          <x:t xml:space="preserve">P07</x:t>
        </x:is>
      </x:c>
      <x:c r="B598" t="inlineStr">
        <x:is>
          <x:t xml:space="preserve">G5_4</x:t>
        </x:is>
      </x:c>
      <x:c r="C598" t="n">
        <x:v>1</x:v>
      </x:c>
    </x:row>
    <x:row r="599">
      <x:c r="A599" t="inlineStr">
        <x:is>
          <x:t xml:space="preserve">P07</x:t>
        </x:is>
      </x:c>
      <x:c r="B599" t="inlineStr">
        <x:is>
          <x:t xml:space="preserve">G6_2</x:t>
        </x:is>
      </x:c>
      <x:c r="C599" t="n">
        <x:v>1</x:v>
      </x:c>
    </x:row>
    <x:row r="600">
      <x:c r="A600" t="inlineStr">
        <x:is>
          <x:t xml:space="preserve">P07</x:t>
        </x:is>
      </x:c>
      <x:c r="B600" t="inlineStr">
        <x:is>
          <x:t xml:space="preserve">G7_5</x:t>
        </x:is>
      </x:c>
      <x:c r="C600" t="n">
        <x:v>1</x:v>
      </x:c>
    </x:row>
    <x:row r="601">
      <x:c r="A601" t="inlineStr">
        <x:is>
          <x:t xml:space="preserve">P07</x:t>
        </x:is>
      </x:c>
      <x:c r="B601" t="inlineStr">
        <x:is>
          <x:t xml:space="preserve">P0A_1</x:t>
        </x:is>
      </x:c>
      <x:c r="C601" t="n">
        <x:v>1</x:v>
      </x:c>
    </x:row>
    <x:row r="602">
      <x:c r="A602" t="inlineStr">
        <x:is>
          <x:t xml:space="preserve">P07</x:t>
        </x:is>
      </x:c>
      <x:c r="B602" t="inlineStr">
        <x:is>
          <x:t xml:space="preserve">P0B_3</x:t>
        </x:is>
      </x:c>
      <x:c r="C602" t="n">
        <x:v>1</x:v>
      </x:c>
    </x:row>
    <x:row r="603">
      <x:c r="A603" t="inlineStr">
        <x:is>
          <x:t xml:space="preserve">P07</x:t>
        </x:is>
      </x:c>
      <x:c r="B603" t="inlineStr">
        <x:is>
          <x:t xml:space="preserve">P0C_3</x:t>
        </x:is>
      </x:c>
      <x:c r="C603" t="n">
        <x:v>1</x:v>
      </x:c>
    </x:row>
    <x:row r="604">
      <x:c r="A604" t="inlineStr">
        <x:is>
          <x:t xml:space="preserve">P07</x:t>
        </x:is>
      </x:c>
      <x:c r="B604" t="inlineStr">
        <x:is>
          <x:t xml:space="preserve">PROF_3</x:t>
        </x:is>
      </x:c>
      <x:c r="C604" t="n">
        <x:v>1</x:v>
      </x:c>
    </x:row>
    <x:row r="605">
      <x:c r="A605" t="inlineStr">
        <x:is>
          <x:t xml:space="preserve">P07</x:t>
        </x:is>
      </x:c>
      <x:c r="B605" t="inlineStr">
        <x:is>
          <x:t xml:space="preserve">Q1_2</x:t>
        </x:is>
      </x:c>
      <x:c r="C605" t="n">
        <x:v>1</x:v>
      </x:c>
    </x:row>
    <x:row r="606">
      <x:c r="A606" t="inlineStr">
        <x:is>
          <x:t xml:space="preserve">P07</x:t>
        </x:is>
      </x:c>
      <x:c r="B606" t="inlineStr">
        <x:is>
          <x:t xml:space="preserve">Q2_1</x:t>
        </x:is>
      </x:c>
      <x:c r="C606" t="n">
        <x:v>1</x:v>
      </x:c>
    </x:row>
    <x:row r="607">
      <x:c r="A607" t="inlineStr">
        <x:is>
          <x:t xml:space="preserve">P07</x:t>
        </x:is>
      </x:c>
      <x:c r="B607" t="inlineStr">
        <x:is>
          <x:t xml:space="preserve">Q3_2</x:t>
        </x:is>
      </x:c>
      <x:c r="C607" t="n">
        <x:v>1</x:v>
      </x:c>
    </x:row>
    <x:row r="608">
      <x:c r="A608" t="inlineStr">
        <x:is>
          <x:t xml:space="preserve">P07</x:t>
        </x:is>
      </x:c>
      <x:c r="B608" t="inlineStr">
        <x:is>
          <x:t xml:space="preserve">Q4_2</x:t>
        </x:is>
      </x:c>
      <x:c r="C608" t="n">
        <x:v>1</x:v>
      </x:c>
    </x:row>
    <x:row r="609">
      <x:c r="A609" t="inlineStr">
        <x:is>
          <x:t xml:space="preserve">P07</x:t>
        </x:is>
      </x:c>
      <x:c r="B609" t="inlineStr">
        <x:is>
          <x:t xml:space="preserve">Q5_2</x:t>
        </x:is>
      </x:c>
      <x:c r="C609" t="n">
        <x:v>1</x:v>
      </x:c>
    </x:row>
    <x:row r="610">
      <x:c r="A610" t="inlineStr">
        <x:is>
          <x:t xml:space="preserve">P07</x:t>
        </x:is>
      </x:c>
      <x:c r="B610" t="inlineStr">
        <x:is>
          <x:t xml:space="preserve">S10_2</x:t>
        </x:is>
      </x:c>
      <x:c r="C610" t="n">
        <x:v>1</x:v>
      </x:c>
    </x:row>
    <x:row r="611">
      <x:c r="A611" t="inlineStr">
        <x:is>
          <x:t xml:space="preserve">P07</x:t>
        </x:is>
      </x:c>
      <x:c r="B611" t="inlineStr">
        <x:is>
          <x:t xml:space="preserve">S1_4</x:t>
        </x:is>
      </x:c>
      <x:c r="C611" t="n">
        <x:v>1</x:v>
      </x:c>
    </x:row>
    <x:row r="612">
      <x:c r="A612" t="inlineStr">
        <x:is>
          <x:t xml:space="preserve">P07</x:t>
        </x:is>
      </x:c>
      <x:c r="B612" t="inlineStr">
        <x:is>
          <x:t xml:space="preserve">S2_2</x:t>
        </x:is>
      </x:c>
      <x:c r="C612" t="n">
        <x:v>1</x:v>
      </x:c>
    </x:row>
    <x:row r="613">
      <x:c r="A613" t="inlineStr">
        <x:is>
          <x:t xml:space="preserve">P07</x:t>
        </x:is>
      </x:c>
      <x:c r="B613" t="inlineStr">
        <x:is>
          <x:t xml:space="preserve">S3_4</x:t>
        </x:is>
      </x:c>
      <x:c r="C613" t="n">
        <x:v>1</x:v>
      </x:c>
    </x:row>
    <x:row r="614">
      <x:c r="A614" t="inlineStr">
        <x:is>
          <x:t xml:space="preserve">P07</x:t>
        </x:is>
      </x:c>
      <x:c r="B614" t="inlineStr">
        <x:is>
          <x:t xml:space="preserve">S4_2</x:t>
        </x:is>
      </x:c>
      <x:c r="C614" t="n">
        <x:v>1</x:v>
      </x:c>
    </x:row>
    <x:row r="615">
      <x:c r="A615" t="inlineStr">
        <x:is>
          <x:t xml:space="preserve">P07</x:t>
        </x:is>
      </x:c>
      <x:c r="B615" t="inlineStr">
        <x:is>
          <x:t xml:space="preserve">S5_4</x:t>
        </x:is>
      </x:c>
      <x:c r="C615" t="n">
        <x:v>1</x:v>
      </x:c>
    </x:row>
    <x:row r="616">
      <x:c r="A616" t="inlineStr">
        <x:is>
          <x:t xml:space="preserve">P07</x:t>
        </x:is>
      </x:c>
      <x:c r="B616" t="inlineStr">
        <x:is>
          <x:t xml:space="preserve">S6_1</x:t>
        </x:is>
      </x:c>
      <x:c r="C616" t="n">
        <x:v>1</x:v>
      </x:c>
    </x:row>
    <x:row r="617">
      <x:c r="A617" t="inlineStr">
        <x:is>
          <x:t xml:space="preserve">P07</x:t>
        </x:is>
      </x:c>
      <x:c r="B617" t="inlineStr">
        <x:is>
          <x:t xml:space="preserve">S7_4</x:t>
        </x:is>
      </x:c>
      <x:c r="C617" t="n">
        <x:v>1</x:v>
      </x:c>
    </x:row>
    <x:row r="618">
      <x:c r="A618" t="inlineStr">
        <x:is>
          <x:t xml:space="preserve">P07</x:t>
        </x:is>
      </x:c>
      <x:c r="B618" t="inlineStr">
        <x:is>
          <x:t xml:space="preserve">S8_1</x:t>
        </x:is>
      </x:c>
      <x:c r="C618" t="n">
        <x:v>1</x:v>
      </x:c>
    </x:row>
    <x:row r="619">
      <x:c r="A619" t="inlineStr">
        <x:is>
          <x:t xml:space="preserve">P07</x:t>
        </x:is>
      </x:c>
      <x:c r="B619" t="inlineStr">
        <x:is>
          <x:t xml:space="preserve">S9_4</x:t>
        </x:is>
      </x:c>
      <x:c r="C619" t="n">
        <x:v>1</x:v>
      </x:c>
    </x:row>
    <x:row r="620">
      <x:c r="A620" t="inlineStr">
        <x:is>
          <x:t xml:space="preserve">P07</x:t>
        </x:is>
      </x:c>
      <x:c r="B620" t="inlineStr">
        <x:is>
          <x:t xml:space="preserve">TOK_C_1</x:t>
        </x:is>
      </x:c>
      <x:c r="C620" t="n">
        <x:v>1</x:v>
      </x:c>
    </x:row>
    <x:row r="621">
      <x:c r="A621" t="inlineStr">
        <x:is>
          <x:t xml:space="preserve">P07</x:t>
        </x:is>
      </x:c>
      <x:c r="B621" t="inlineStr">
        <x:is>
          <x:t xml:space="preserve">TOK_C_2</x:t>
        </x:is>
      </x:c>
      <x:c r="C621" t="n">
        <x:v>1</x:v>
      </x:c>
    </x:row>
    <x:row r="622">
      <x:c r="A622" t="inlineStr">
        <x:is>
          <x:t xml:space="preserve">P07</x:t>
        </x:is>
      </x:c>
      <x:c r="B622" t="inlineStr">
        <x:is>
          <x:t xml:space="preserve">TOK_C_3</x:t>
        </x:is>
      </x:c>
      <x:c r="C622" t="n">
        <x:v>1</x:v>
      </x:c>
    </x:row>
    <x:row r="623">
      <x:c r="A623" t="inlineStr">
        <x:is>
          <x:t xml:space="preserve">P07</x:t>
        </x:is>
      </x:c>
      <x:c r="B623" t="inlineStr">
        <x:is>
          <x:t xml:space="preserve">TOK_S_1</x:t>
        </x:is>
      </x:c>
      <x:c r="C623" t="n">
        <x:v>1</x:v>
      </x:c>
    </x:row>
    <x:row r="624">
      <x:c r="A624" t="inlineStr">
        <x:is>
          <x:t xml:space="preserve">P07</x:t>
        </x:is>
      </x:c>
      <x:c r="B624" t="inlineStr">
        <x:is>
          <x:t xml:space="preserve">TOK_S_2</x:t>
        </x:is>
      </x:c>
      <x:c r="C624" t="n">
        <x:v>1</x:v>
      </x:c>
    </x:row>
    <x:row r="625">
      <x:c r="A625" t="inlineStr">
        <x:is>
          <x:t xml:space="preserve">P07</x:t>
        </x:is>
      </x:c>
      <x:c r="B625" t="inlineStr">
        <x:is>
          <x:t xml:space="preserve">TOK_T_1</x:t>
        </x:is>
      </x:c>
      <x:c r="C625" t="n">
        <x:v>1</x:v>
      </x:c>
    </x:row>
    <x:row r="626">
      <x:c r="A626" t="inlineStr">
        <x:is>
          <x:t xml:space="preserve">P07</x:t>
        </x:is>
      </x:c>
      <x:c r="B626" t="inlineStr">
        <x:is>
          <x:t xml:space="preserve">TOK_T_2</x:t>
        </x:is>
      </x:c>
      <x:c r="C626" t="n">
        <x:v>1</x:v>
      </x:c>
    </x:row>
    <x:row r="627">
      <x:c r="A627" t="inlineStr">
        <x:is>
          <x:t xml:space="preserve">P07</x:t>
        </x:is>
      </x:c>
      <x:c r="B627" t="inlineStr">
        <x:is>
          <x:t xml:space="preserve">TOK_T_3</x:t>
        </x:is>
      </x:c>
      <x:c r="C627" t="n">
        <x:v>1</x:v>
      </x:c>
    </x:row>
    <x:row r="628">
      <x:c r="A628" t="inlineStr">
        <x:is>
          <x:t xml:space="preserve">P07</x:t>
        </x:is>
      </x:c>
      <x:c r="B628" t="inlineStr">
        <x:is>
          <x:t xml:space="preserve">TOK_T_4</x:t>
        </x:is>
      </x:c>
      <x:c r="C628" t="n">
        <x:v>1</x:v>
      </x:c>
    </x:row>
    <x:row r="629">
      <x:c r="A629" t="inlineStr">
        <x:is>
          <x:t xml:space="preserve">P07</x:t>
        </x:is>
      </x:c>
      <x:c r="B629" t="inlineStr">
        <x:is>
          <x:t xml:space="preserve">TOK_T_5</x:t>
        </x:is>
      </x:c>
      <x:c r="C629" t="n">
        <x:v>1</x:v>
      </x:c>
    </x:row>
    <x:row r="630">
      <x:c r="A630" t="inlineStr">
        <x:is>
          <x:t xml:space="preserve">P07</x:t>
        </x:is>
      </x:c>
      <x:c r="B630" t="inlineStr">
        <x:is>
          <x:t xml:space="preserve">V1_1_2</x:t>
        </x:is>
      </x:c>
      <x:c r="C630" t="n">
        <x:v>1</x:v>
      </x:c>
    </x:row>
    <x:row r="631">
      <x:c r="A631" t="inlineStr">
        <x:is>
          <x:t xml:space="preserve">P07</x:t>
        </x:is>
      </x:c>
      <x:c r="B631" t="inlineStr">
        <x:is>
          <x:t xml:space="preserve">V1_2_3</x:t>
        </x:is>
      </x:c>
      <x:c r="C631" t="n">
        <x:v>1</x:v>
      </x:c>
    </x:row>
    <x:row r="632">
      <x:c r="A632" t="inlineStr">
        <x:is>
          <x:t xml:space="preserve">P07</x:t>
        </x:is>
      </x:c>
      <x:c r="B632" t="inlineStr">
        <x:is>
          <x:t xml:space="preserve">V1_3_4</x:t>
        </x:is>
      </x:c>
      <x:c r="C632" t="n">
        <x:v>1</x:v>
      </x:c>
    </x:row>
    <x:row r="633">
      <x:c r="A633" t="inlineStr">
        <x:is>
          <x:t xml:space="preserve">P07</x:t>
        </x:is>
      </x:c>
      <x:c r="B633" t="inlineStr">
        <x:is>
          <x:t xml:space="preserve">V2_1_2</x:t>
        </x:is>
      </x:c>
      <x:c r="C633" t="n">
        <x:v>1</x:v>
      </x:c>
    </x:row>
    <x:row r="634">
      <x:c r="A634" t="inlineStr">
        <x:is>
          <x:t xml:space="preserve">P07</x:t>
        </x:is>
      </x:c>
      <x:c r="B634" t="inlineStr">
        <x:is>
          <x:t xml:space="preserve">V2_2_3</x:t>
        </x:is>
      </x:c>
      <x:c r="C634" t="n">
        <x:v>1</x:v>
      </x:c>
    </x:row>
    <x:row r="635">
      <x:c r="A635" t="inlineStr">
        <x:is>
          <x:t xml:space="preserve">P07</x:t>
        </x:is>
      </x:c>
      <x:c r="B635" t="inlineStr">
        <x:is>
          <x:t xml:space="preserve">V2_3_5</x:t>
        </x:is>
      </x:c>
      <x:c r="C635" t="n">
        <x:v>1</x:v>
      </x:c>
    </x:row>
    <x:row r="636">
      <x:c r="A636" t="inlineStr">
        <x:is>
          <x:t xml:space="preserve">P07</x:t>
        </x:is>
      </x:c>
      <x:c r="B636" t="inlineStr">
        <x:is>
          <x:t xml:space="preserve">COMMENTO</x:t>
        </x:is>
      </x:c>
      <x:c r="C636" t="inlineStr">
        <x:is>
          <x:t xml:space="preserve">…………………………</x:t>
        </x:is>
      </x:c>
    </x:row>
    <x:row r="637">
      <x:c r="A637" t="inlineStr">
        <x:is>
          <x:t xml:space="preserve">P07</x:t>
        </x:is>
      </x:c>
      <x:c r="B637" t="inlineStr">
        <x:is>
          <x:t xml:space="preserve">T_FINE</x:t>
        </x:is>
      </x:c>
      <x:c r="C637" t="inlineStr">
        <x:is>
          <x:t xml:space="preserve">hh:mm</x:t>
        </x:is>
      </x:c>
    </x:row>
    <x:row r="638">
      <x:c r="A638" t="inlineStr">
        <x:is>
          <x:t xml:space="preserve">P07</x:t>
        </x:is>
      </x:c>
      <x:c r="B638" t="inlineStr">
        <x:is>
          <x:t xml:space="preserve">T_INIZIO</x:t>
        </x:is>
      </x:c>
      <x:c r="C638" t="inlineStr">
        <x:is>
          <x:t xml:space="preserve">hh:mm</x:t>
        </x:is>
      </x:c>
    </x:row>
    <x:row r="639">
      <x:c r="A639" t="inlineStr">
        <x:is>
          <x:t xml:space="preserve">P08</x:t>
        </x:is>
      </x:c>
      <x:c r="B639" t="inlineStr">
        <x:is>
          <x:t xml:space="preserve">ADESIONE_1</x:t>
        </x:is>
      </x:c>
      <x:c r="C639" t="n">
        <x:v>1</x:v>
      </x:c>
    </x:row>
    <x:row r="640">
      <x:c r="A640" t="inlineStr">
        <x:is>
          <x:t xml:space="preserve">P08</x:t>
        </x:is>
      </x:c>
      <x:c r="B640" t="inlineStr">
        <x:is>
          <x:t xml:space="preserve">C1_D1_2</x:t>
        </x:is>
      </x:c>
      <x:c r="C640" t="n">
        <x:v>1</x:v>
      </x:c>
    </x:row>
    <x:row r="641">
      <x:c r="A641" t="inlineStr">
        <x:is>
          <x:t xml:space="preserve">P08</x:t>
        </x:is>
      </x:c>
      <x:c r="B641" t="inlineStr">
        <x:is>
          <x:t xml:space="preserve">C1_D2_6</x:t>
        </x:is>
      </x:c>
      <x:c r="C641" t="n">
        <x:v>1</x:v>
      </x:c>
    </x:row>
    <x:row r="642">
      <x:c r="A642" t="inlineStr">
        <x:is>
          <x:t xml:space="preserve">P08</x:t>
        </x:is>
      </x:c>
      <x:c r="B642" t="inlineStr">
        <x:is>
          <x:t xml:space="preserve">C1_D3_3</x:t>
        </x:is>
      </x:c>
      <x:c r="C642" t="n">
        <x:v>1</x:v>
      </x:c>
    </x:row>
    <x:row r="643">
      <x:c r="A643" t="inlineStr">
        <x:is>
          <x:t xml:space="preserve">P08</x:t>
        </x:is>
      </x:c>
      <x:c r="B643" t="inlineStr">
        <x:is>
          <x:t xml:space="preserve">C1_D3_8</x:t>
        </x:is>
      </x:c>
      <x:c r="C643" t="n">
        <x:v>1</x:v>
      </x:c>
    </x:row>
    <x:row r="644">
      <x:c r="A644" t="inlineStr">
        <x:is>
          <x:t xml:space="preserve">P08</x:t>
        </x:is>
      </x:c>
      <x:c r="B644" t="inlineStr">
        <x:is>
          <x:t xml:space="preserve">C1_D4_5</x:t>
        </x:is>
      </x:c>
      <x:c r="C644" t="n">
        <x:v>1</x:v>
      </x:c>
    </x:row>
    <x:row r="645">
      <x:c r="A645" t="inlineStr">
        <x:is>
          <x:t xml:space="preserve">P08</x:t>
        </x:is>
      </x:c>
      <x:c r="B645" t="inlineStr">
        <x:is>
          <x:t xml:space="preserve">C1_D5_6</x:t>
        </x:is>
      </x:c>
      <x:c r="C645" t="n">
        <x:v>1</x:v>
      </x:c>
    </x:row>
    <x:row r="646">
      <x:c r="A646" t="inlineStr">
        <x:is>
          <x:t xml:space="preserve">P08</x:t>
        </x:is>
      </x:c>
      <x:c r="B646" t="inlineStr">
        <x:is>
          <x:t xml:space="preserve">C1_L1_4</x:t>
        </x:is>
      </x:c>
      <x:c r="C646" t="n">
        <x:v>1</x:v>
      </x:c>
    </x:row>
    <x:row r="647">
      <x:c r="A647" t="inlineStr">
        <x:is>
          <x:t xml:space="preserve">P08</x:t>
        </x:is>
      </x:c>
      <x:c r="B647" t="inlineStr">
        <x:is>
          <x:t xml:space="preserve">C1_L2_2</x:t>
        </x:is>
      </x:c>
      <x:c r="C647" t="n">
        <x:v>1</x:v>
      </x:c>
    </x:row>
    <x:row r="648">
      <x:c r="A648" t="inlineStr">
        <x:is>
          <x:t xml:space="preserve">P08</x:t>
        </x:is>
      </x:c>
      <x:c r="B648" t="inlineStr">
        <x:is>
          <x:t xml:space="preserve">C1_L3_2</x:t>
        </x:is>
      </x:c>
      <x:c r="C648" t="n">
        <x:v>1</x:v>
      </x:c>
    </x:row>
    <x:row r="649">
      <x:c r="A649" t="inlineStr">
        <x:is>
          <x:t xml:space="preserve">P08</x:t>
        </x:is>
      </x:c>
      <x:c r="B649" t="inlineStr">
        <x:is>
          <x:t xml:space="preserve">C2_D1_4</x:t>
        </x:is>
      </x:c>
      <x:c r="C649" t="n">
        <x:v>1</x:v>
      </x:c>
    </x:row>
    <x:row r="650">
      <x:c r="A650" t="inlineStr">
        <x:is>
          <x:t xml:space="preserve">P08</x:t>
        </x:is>
      </x:c>
      <x:c r="B650" t="inlineStr">
        <x:is>
          <x:t xml:space="preserve">C2_D2_7</x:t>
        </x:is>
      </x:c>
      <x:c r="C650" t="n">
        <x:v>1</x:v>
      </x:c>
    </x:row>
    <x:row r="651">
      <x:c r="A651" t="inlineStr">
        <x:is>
          <x:t xml:space="preserve">P08</x:t>
        </x:is>
      </x:c>
      <x:c r="B651" t="inlineStr">
        <x:is>
          <x:t xml:space="preserve">C2_D3_3</x:t>
        </x:is>
      </x:c>
      <x:c r="C651" t="n">
        <x:v>1</x:v>
      </x:c>
    </x:row>
    <x:row r="652">
      <x:c r="A652" t="inlineStr">
        <x:is>
          <x:t xml:space="preserve">P08</x:t>
        </x:is>
      </x:c>
      <x:c r="B652" t="inlineStr">
        <x:is>
          <x:t xml:space="preserve">C2_D3_8</x:t>
        </x:is>
      </x:c>
      <x:c r="C652" t="n">
        <x:v>1</x:v>
      </x:c>
    </x:row>
    <x:row r="653">
      <x:c r="A653" t="inlineStr">
        <x:is>
          <x:t xml:space="preserve">P08</x:t>
        </x:is>
      </x:c>
      <x:c r="B653" t="inlineStr">
        <x:is>
          <x:t xml:space="preserve">C2_D4_5</x:t>
        </x:is>
      </x:c>
      <x:c r="C653" t="n">
        <x:v>1</x:v>
      </x:c>
    </x:row>
    <x:row r="654">
      <x:c r="A654" t="inlineStr">
        <x:is>
          <x:t xml:space="preserve">P08</x:t>
        </x:is>
      </x:c>
      <x:c r="B654" t="inlineStr">
        <x:is>
          <x:t xml:space="preserve">C2_D5_6</x:t>
        </x:is>
      </x:c>
      <x:c r="C654" t="n">
        <x:v>1</x:v>
      </x:c>
    </x:row>
    <x:row r="655">
      <x:c r="A655" t="inlineStr">
        <x:is>
          <x:t xml:space="preserve">P08</x:t>
        </x:is>
      </x:c>
      <x:c r="B655" t="inlineStr">
        <x:is>
          <x:t xml:space="preserve">C2_L1_5</x:t>
        </x:is>
      </x:c>
      <x:c r="C655" t="n">
        <x:v>1</x:v>
      </x:c>
    </x:row>
    <x:row r="656">
      <x:c r="A656" t="inlineStr">
        <x:is>
          <x:t xml:space="preserve">P08</x:t>
        </x:is>
      </x:c>
      <x:c r="B656" t="inlineStr">
        <x:is>
          <x:t xml:space="preserve">C2_L2_3</x:t>
        </x:is>
      </x:c>
      <x:c r="C656" t="n">
        <x:v>1</x:v>
      </x:c>
    </x:row>
    <x:row r="657">
      <x:c r="A657" t="inlineStr">
        <x:is>
          <x:t xml:space="preserve">P08</x:t>
        </x:is>
      </x:c>
      <x:c r="B657" t="inlineStr">
        <x:is>
          <x:t xml:space="preserve">C2_L3_2</x:t>
        </x:is>
      </x:c>
      <x:c r="C657" t="n">
        <x:v>1</x:v>
      </x:c>
    </x:row>
    <x:row r="658">
      <x:c r="A658" t="inlineStr">
        <x:is>
          <x:t xml:space="preserve">P08</x:t>
        </x:is>
      </x:c>
      <x:c r="B658" t="inlineStr">
        <x:is>
          <x:t xml:space="preserve">C3_D1_1</x:t>
        </x:is>
      </x:c>
      <x:c r="C658" t="n">
        <x:v>1</x:v>
      </x:c>
    </x:row>
    <x:row r="659">
      <x:c r="A659" t="inlineStr">
        <x:is>
          <x:t xml:space="preserve">P08</x:t>
        </x:is>
      </x:c>
      <x:c r="B659" t="inlineStr">
        <x:is>
          <x:t xml:space="preserve">C3_D2_4</x:t>
        </x:is>
      </x:c>
      <x:c r="C659" t="n">
        <x:v>1</x:v>
      </x:c>
    </x:row>
    <x:row r="660">
      <x:c r="A660" t="inlineStr">
        <x:is>
          <x:t xml:space="preserve">P08</x:t>
        </x:is>
      </x:c>
      <x:c r="B660" t="inlineStr">
        <x:is>
          <x:t xml:space="preserve">C3_D3_2</x:t>
        </x:is>
      </x:c>
      <x:c r="C660" t="n">
        <x:v>1</x:v>
      </x:c>
    </x:row>
    <x:row r="661">
      <x:c r="A661" t="inlineStr">
        <x:is>
          <x:t xml:space="preserve">P08</x:t>
        </x:is>
      </x:c>
      <x:c r="B661" t="inlineStr">
        <x:is>
          <x:t xml:space="preserve">C3_D3_5</x:t>
        </x:is>
      </x:c>
      <x:c r="C661" t="n">
        <x:v>1</x:v>
      </x:c>
    </x:row>
    <x:row r="662">
      <x:c r="A662" t="inlineStr">
        <x:is>
          <x:t xml:space="preserve">P08</x:t>
        </x:is>
      </x:c>
      <x:c r="B662" t="inlineStr">
        <x:is>
          <x:t xml:space="preserve">C3_D4_8</x:t>
        </x:is>
      </x:c>
      <x:c r="C662" t="n">
        <x:v>1</x:v>
      </x:c>
    </x:row>
    <x:row r="663">
      <x:c r="A663" t="inlineStr">
        <x:is>
          <x:t xml:space="preserve">P08</x:t>
        </x:is>
      </x:c>
      <x:c r="B663" t="inlineStr">
        <x:is>
          <x:t xml:space="preserve">C3_D5_5</x:t>
        </x:is>
      </x:c>
      <x:c r="C663" t="n">
        <x:v>1</x:v>
      </x:c>
    </x:row>
    <x:row r="664">
      <x:c r="A664" t="inlineStr">
        <x:is>
          <x:t xml:space="preserve">P08</x:t>
        </x:is>
      </x:c>
      <x:c r="B664" t="inlineStr">
        <x:is>
          <x:t xml:space="preserve">C3_L1_2</x:t>
        </x:is>
      </x:c>
      <x:c r="C664" t="n">
        <x:v>1</x:v>
      </x:c>
    </x:row>
    <x:row r="665">
      <x:c r="A665" t="inlineStr">
        <x:is>
          <x:t xml:space="preserve">P08</x:t>
        </x:is>
      </x:c>
      <x:c r="B665" t="inlineStr">
        <x:is>
          <x:t xml:space="preserve">C3_L2_3</x:t>
        </x:is>
      </x:c>
      <x:c r="C665" t="n">
        <x:v>1</x:v>
      </x:c>
    </x:row>
    <x:row r="666">
      <x:c r="A666" t="inlineStr">
        <x:is>
          <x:t xml:space="preserve">P08</x:t>
        </x:is>
      </x:c>
      <x:c r="B666" t="inlineStr">
        <x:is>
          <x:t xml:space="preserve">C3_L3_1</x:t>
        </x:is>
      </x:c>
      <x:c r="C666" t="n">
        <x:v>1</x:v>
      </x:c>
    </x:row>
    <x:row r="667">
      <x:c r="A667" t="inlineStr">
        <x:is>
          <x:t xml:space="preserve">P08</x:t>
        </x:is>
      </x:c>
      <x:c r="B667" t="inlineStr">
        <x:is>
          <x:t xml:space="preserve">C4_D1_1</x:t>
        </x:is>
      </x:c>
      <x:c r="C667" t="n">
        <x:v>1</x:v>
      </x:c>
    </x:row>
    <x:row r="668">
      <x:c r="A668" t="inlineStr">
        <x:is>
          <x:t xml:space="preserve">P08</x:t>
        </x:is>
      </x:c>
      <x:c r="B668" t="inlineStr">
        <x:is>
          <x:t xml:space="preserve">C4_D2_4</x:t>
        </x:is>
      </x:c>
      <x:c r="C668" t="n">
        <x:v>1</x:v>
      </x:c>
    </x:row>
    <x:row r="669">
      <x:c r="A669" t="inlineStr">
        <x:is>
          <x:t xml:space="preserve">P08</x:t>
        </x:is>
      </x:c>
      <x:c r="B669" t="inlineStr">
        <x:is>
          <x:t xml:space="preserve">C4_D3_2</x:t>
        </x:is>
      </x:c>
      <x:c r="C669" t="n">
        <x:v>1</x:v>
      </x:c>
    </x:row>
    <x:row r="670">
      <x:c r="A670" t="inlineStr">
        <x:is>
          <x:t xml:space="preserve">P08</x:t>
        </x:is>
      </x:c>
      <x:c r="B670" t="inlineStr">
        <x:is>
          <x:t xml:space="preserve">C4_D3_8</x:t>
        </x:is>
      </x:c>
      <x:c r="C670" t="n">
        <x:v>1</x:v>
      </x:c>
    </x:row>
    <x:row r="671">
      <x:c r="A671" t="inlineStr">
        <x:is>
          <x:t xml:space="preserve">P08</x:t>
        </x:is>
      </x:c>
      <x:c r="B671" t="inlineStr">
        <x:is>
          <x:t xml:space="preserve">C4_D4_5</x:t>
        </x:is>
      </x:c>
      <x:c r="C671" t="n">
        <x:v>1</x:v>
      </x:c>
    </x:row>
    <x:row r="672">
      <x:c r="A672" t="inlineStr">
        <x:is>
          <x:t xml:space="preserve">P08</x:t>
        </x:is>
      </x:c>
      <x:c r="B672" t="inlineStr">
        <x:is>
          <x:t xml:space="preserve">C4_D5_4</x:t>
        </x:is>
      </x:c>
      <x:c r="C672" t="n">
        <x:v>1</x:v>
      </x:c>
    </x:row>
    <x:row r="673">
      <x:c r="A673" t="inlineStr">
        <x:is>
          <x:t xml:space="preserve">P08</x:t>
        </x:is>
      </x:c>
      <x:c r="B673" t="inlineStr">
        <x:is>
          <x:t xml:space="preserve">C4_L1_2</x:t>
        </x:is>
      </x:c>
      <x:c r="C673" t="n">
        <x:v>1</x:v>
      </x:c>
    </x:row>
    <x:row r="674">
      <x:c r="A674" t="inlineStr">
        <x:is>
          <x:t xml:space="preserve">P08</x:t>
        </x:is>
      </x:c>
      <x:c r="B674" t="inlineStr">
        <x:is>
          <x:t xml:space="preserve">C4_L2_4</x:t>
        </x:is>
      </x:c>
      <x:c r="C674" t="n">
        <x:v>1</x:v>
      </x:c>
    </x:row>
    <x:row r="675">
      <x:c r="A675" t="inlineStr">
        <x:is>
          <x:t xml:space="preserve">P08</x:t>
        </x:is>
      </x:c>
      <x:c r="B675" t="inlineStr">
        <x:is>
          <x:t xml:space="preserve">C4_L3_4</x:t>
        </x:is>
      </x:c>
      <x:c r="C675" t="n">
        <x:v>1</x:v>
      </x:c>
    </x:row>
    <x:row r="676">
      <x:c r="A676" t="inlineStr">
        <x:is>
          <x:t xml:space="preserve">P08</x:t>
        </x:is>
      </x:c>
      <x:c r="B676" t="inlineStr">
        <x:is>
          <x:t xml:space="preserve">C5_D1_4</x:t>
        </x:is>
      </x:c>
      <x:c r="C676" t="n">
        <x:v>1</x:v>
      </x:c>
    </x:row>
    <x:row r="677">
      <x:c r="A677" t="inlineStr">
        <x:is>
          <x:t xml:space="preserve">P08</x:t>
        </x:is>
      </x:c>
      <x:c r="B677" t="inlineStr">
        <x:is>
          <x:t xml:space="preserve">C5_D2_7</x:t>
        </x:is>
      </x:c>
      <x:c r="C677" t="n">
        <x:v>1</x:v>
      </x:c>
    </x:row>
    <x:row r="678">
      <x:c r="A678" t="inlineStr">
        <x:is>
          <x:t xml:space="preserve">P08</x:t>
        </x:is>
      </x:c>
      <x:c r="B678" t="inlineStr">
        <x:is>
          <x:t xml:space="preserve">C5_D3_3</x:t>
        </x:is>
      </x:c>
      <x:c r="C678" t="n">
        <x:v>1</x:v>
      </x:c>
    </x:row>
    <x:row r="679">
      <x:c r="A679" t="inlineStr">
        <x:is>
          <x:t xml:space="preserve">P08</x:t>
        </x:is>
      </x:c>
      <x:c r="B679" t="inlineStr">
        <x:is>
          <x:t xml:space="preserve">C5_D3_8</x:t>
        </x:is>
      </x:c>
      <x:c r="C679" t="n">
        <x:v>1</x:v>
      </x:c>
    </x:row>
    <x:row r="680">
      <x:c r="A680" t="inlineStr">
        <x:is>
          <x:t xml:space="preserve">P08</x:t>
        </x:is>
      </x:c>
      <x:c r="B680" t="inlineStr">
        <x:is>
          <x:t xml:space="preserve">C5_D4_5</x:t>
        </x:is>
      </x:c>
      <x:c r="C680" t="n">
        <x:v>1</x:v>
      </x:c>
    </x:row>
    <x:row r="681">
      <x:c r="A681" t="inlineStr">
        <x:is>
          <x:t xml:space="preserve">P08</x:t>
        </x:is>
      </x:c>
      <x:c r="B681" t="inlineStr">
        <x:is>
          <x:t xml:space="preserve">C5_D5_5</x:t>
        </x:is>
      </x:c>
      <x:c r="C681" t="n">
        <x:v>1</x:v>
      </x:c>
    </x:row>
    <x:row r="682">
      <x:c r="A682" t="inlineStr">
        <x:is>
          <x:t xml:space="preserve">P08</x:t>
        </x:is>
      </x:c>
      <x:c r="B682" t="inlineStr">
        <x:is>
          <x:t xml:space="preserve">C5_L1_6</x:t>
        </x:is>
      </x:c>
      <x:c r="C682" t="n">
        <x:v>1</x:v>
      </x:c>
    </x:row>
    <x:row r="683">
      <x:c r="A683" t="inlineStr">
        <x:is>
          <x:t xml:space="preserve">P08</x:t>
        </x:is>
      </x:c>
      <x:c r="B683" t="inlineStr">
        <x:is>
          <x:t xml:space="preserve">C5_L2_3</x:t>
        </x:is>
      </x:c>
      <x:c r="C683" t="n">
        <x:v>1</x:v>
      </x:c>
    </x:row>
    <x:row r="684">
      <x:c r="A684" t="inlineStr">
        <x:is>
          <x:t xml:space="preserve">P08</x:t>
        </x:is>
      </x:c>
      <x:c r="B684" t="inlineStr">
        <x:is>
          <x:t xml:space="preserve">C5_L3_2</x:t>
        </x:is>
      </x:c>
      <x:c r="C684" t="n">
        <x:v>1</x:v>
      </x:c>
    </x:row>
    <x:row r="685">
      <x:c r="A685" t="inlineStr">
        <x:is>
          <x:t xml:space="preserve">P08</x:t>
        </x:is>
      </x:c>
      <x:c r="B685" t="inlineStr">
        <x:is>
          <x:t xml:space="preserve">F1_3</x:t>
        </x:is>
      </x:c>
      <x:c r="C685" t="n">
        <x:v>1</x:v>
      </x:c>
    </x:row>
    <x:row r="686">
      <x:c r="A686" t="inlineStr">
        <x:is>
          <x:t xml:space="preserve">P08</x:t>
        </x:is>
      </x:c>
      <x:c r="B686" t="inlineStr">
        <x:is>
          <x:t xml:space="preserve">F2_1</x:t>
        </x:is>
      </x:c>
      <x:c r="C686" t="n">
        <x:v>1</x:v>
      </x:c>
    </x:row>
    <x:row r="687">
      <x:c r="A687" t="inlineStr">
        <x:is>
          <x:t xml:space="preserve">P08</x:t>
        </x:is>
      </x:c>
      <x:c r="B687" t="inlineStr">
        <x:is>
          <x:t xml:space="preserve">F2_4</x:t>
        </x:is>
      </x:c>
      <x:c r="C687" t="n">
        <x:v>1</x:v>
      </x:c>
    </x:row>
    <x:row r="688">
      <x:c r="A688" t="inlineStr">
        <x:is>
          <x:t xml:space="preserve">P08</x:t>
        </x:is>
      </x:c>
      <x:c r="B688" t="inlineStr">
        <x:is>
          <x:t xml:space="preserve">G1_5</x:t>
        </x:is>
      </x:c>
      <x:c r="C688" t="n">
        <x:v>1</x:v>
      </x:c>
    </x:row>
    <x:row r="689">
      <x:c r="A689" t="inlineStr">
        <x:is>
          <x:t xml:space="preserve">P08</x:t>
        </x:is>
      </x:c>
      <x:c r="B689" t="inlineStr">
        <x:is>
          <x:t xml:space="preserve">G2_4</x:t>
        </x:is>
      </x:c>
      <x:c r="C689" t="n">
        <x:v>1</x:v>
      </x:c>
    </x:row>
    <x:row r="690">
      <x:c r="A690" t="inlineStr">
        <x:is>
          <x:t xml:space="preserve">P08</x:t>
        </x:is>
      </x:c>
      <x:c r="B690" t="inlineStr">
        <x:is>
          <x:t xml:space="preserve">G3_4</x:t>
        </x:is>
      </x:c>
      <x:c r="C690" t="n">
        <x:v>1</x:v>
      </x:c>
    </x:row>
    <x:row r="691">
      <x:c r="A691" t="inlineStr">
        <x:is>
          <x:t xml:space="preserve">P08</x:t>
        </x:is>
      </x:c>
      <x:c r="B691" t="inlineStr">
        <x:is>
          <x:t xml:space="preserve">G4_4</x:t>
        </x:is>
      </x:c>
      <x:c r="C691" t="n">
        <x:v>1</x:v>
      </x:c>
    </x:row>
    <x:row r="692">
      <x:c r="A692" t="inlineStr">
        <x:is>
          <x:t xml:space="preserve">P08</x:t>
        </x:is>
      </x:c>
      <x:c r="B692" t="inlineStr">
        <x:is>
          <x:t xml:space="preserve">G5_3</x:t>
        </x:is>
      </x:c>
      <x:c r="C692" t="n">
        <x:v>1</x:v>
      </x:c>
    </x:row>
    <x:row r="693">
      <x:c r="A693" t="inlineStr">
        <x:is>
          <x:t xml:space="preserve">P08</x:t>
        </x:is>
      </x:c>
      <x:c r="B693" t="inlineStr">
        <x:is>
          <x:t xml:space="preserve">G6_4</x:t>
        </x:is>
      </x:c>
      <x:c r="C693" t="n">
        <x:v>1</x:v>
      </x:c>
    </x:row>
    <x:row r="694">
      <x:c r="A694" t="inlineStr">
        <x:is>
          <x:t xml:space="preserve">P08</x:t>
        </x:is>
      </x:c>
      <x:c r="B694" t="inlineStr">
        <x:is>
          <x:t xml:space="preserve">G7_4</x:t>
        </x:is>
      </x:c>
      <x:c r="C694" t="n">
        <x:v>1</x:v>
      </x:c>
    </x:row>
    <x:row r="695">
      <x:c r="A695" t="inlineStr">
        <x:is>
          <x:t xml:space="preserve">P08</x:t>
        </x:is>
      </x:c>
      <x:c r="B695" t="inlineStr">
        <x:is>
          <x:t xml:space="preserve">P0A_2</x:t>
        </x:is>
      </x:c>
      <x:c r="C695" t="n">
        <x:v>1</x:v>
      </x:c>
    </x:row>
    <x:row r="696">
      <x:c r="A696" t="inlineStr">
        <x:is>
          <x:t xml:space="preserve">P08</x:t>
        </x:is>
      </x:c>
      <x:c r="B696" t="inlineStr">
        <x:is>
          <x:t xml:space="preserve">P0B_2</x:t>
        </x:is>
      </x:c>
      <x:c r="C696" t="n">
        <x:v>1</x:v>
      </x:c>
    </x:row>
    <x:row r="697">
      <x:c r="A697" t="inlineStr">
        <x:is>
          <x:t xml:space="preserve">P08</x:t>
        </x:is>
      </x:c>
      <x:c r="B697" t="inlineStr">
        <x:is>
          <x:t xml:space="preserve">P0C_4</x:t>
        </x:is>
      </x:c>
      <x:c r="C697" t="n">
        <x:v>1</x:v>
      </x:c>
    </x:row>
    <x:row r="698">
      <x:c r="A698" t="inlineStr">
        <x:is>
          <x:t xml:space="preserve">P08</x:t>
        </x:is>
      </x:c>
      <x:c r="B698" t="inlineStr">
        <x:is>
          <x:t xml:space="preserve">PROF_3</x:t>
        </x:is>
      </x:c>
      <x:c r="C698" t="n">
        <x:v>1</x:v>
      </x:c>
    </x:row>
    <x:row r="699">
      <x:c r="A699" t="inlineStr">
        <x:is>
          <x:t xml:space="preserve">P08</x:t>
        </x:is>
      </x:c>
      <x:c r="B699" t="inlineStr">
        <x:is>
          <x:t xml:space="preserve">Q1_2</x:t>
        </x:is>
      </x:c>
      <x:c r="C699" t="n">
        <x:v>1</x:v>
      </x:c>
    </x:row>
    <x:row r="700">
      <x:c r="A700" t="inlineStr">
        <x:is>
          <x:t xml:space="preserve">P08</x:t>
        </x:is>
      </x:c>
      <x:c r="B700" t="inlineStr">
        <x:is>
          <x:t xml:space="preserve">Q2_1</x:t>
        </x:is>
      </x:c>
      <x:c r="C700" t="n">
        <x:v>1</x:v>
      </x:c>
    </x:row>
    <x:row r="701">
      <x:c r="A701" t="inlineStr">
        <x:is>
          <x:t xml:space="preserve">P08</x:t>
        </x:is>
      </x:c>
      <x:c r="B701" t="inlineStr">
        <x:is>
          <x:t xml:space="preserve">Q3_2</x:t>
        </x:is>
      </x:c>
      <x:c r="C701" t="n">
        <x:v>1</x:v>
      </x:c>
    </x:row>
    <x:row r="702">
      <x:c r="A702" t="inlineStr">
        <x:is>
          <x:t xml:space="preserve">P08</x:t>
        </x:is>
      </x:c>
      <x:c r="B702" t="inlineStr">
        <x:is>
          <x:t xml:space="preserve">Q4_2</x:t>
        </x:is>
      </x:c>
      <x:c r="C702" t="n">
        <x:v>1</x:v>
      </x:c>
    </x:row>
    <x:row r="703">
      <x:c r="A703" t="inlineStr">
        <x:is>
          <x:t xml:space="preserve">P08</x:t>
        </x:is>
      </x:c>
      <x:c r="B703" t="inlineStr">
        <x:is>
          <x:t xml:space="preserve">Q5_2</x:t>
        </x:is>
      </x:c>
      <x:c r="C703" t="n">
        <x:v>1</x:v>
      </x:c>
    </x:row>
    <x:row r="704">
      <x:c r="A704" t="inlineStr">
        <x:is>
          <x:t xml:space="preserve">P08</x:t>
        </x:is>
      </x:c>
      <x:c r="B704" t="inlineStr">
        <x:is>
          <x:t xml:space="preserve">S10_2</x:t>
        </x:is>
      </x:c>
      <x:c r="C704" t="n">
        <x:v>1</x:v>
      </x:c>
    </x:row>
    <x:row r="705">
      <x:c r="A705" t="inlineStr">
        <x:is>
          <x:t xml:space="preserve">P08</x:t>
        </x:is>
      </x:c>
      <x:c r="B705" t="inlineStr">
        <x:is>
          <x:t xml:space="preserve">S1_4</x:t>
        </x:is>
      </x:c>
      <x:c r="C705" t="n">
        <x:v>1</x:v>
      </x:c>
    </x:row>
    <x:row r="706">
      <x:c r="A706" t="inlineStr">
        <x:is>
          <x:t xml:space="preserve">P08</x:t>
        </x:is>
      </x:c>
      <x:c r="B706" t="inlineStr">
        <x:is>
          <x:t xml:space="preserve">S2_2</x:t>
        </x:is>
      </x:c>
      <x:c r="C706" t="n">
        <x:v>1</x:v>
      </x:c>
    </x:row>
    <x:row r="707">
      <x:c r="A707" t="inlineStr">
        <x:is>
          <x:t xml:space="preserve">P08</x:t>
        </x:is>
      </x:c>
      <x:c r="B707" t="inlineStr">
        <x:is>
          <x:t xml:space="preserve">S3_4</x:t>
        </x:is>
      </x:c>
      <x:c r="C707" t="n">
        <x:v>1</x:v>
      </x:c>
    </x:row>
    <x:row r="708">
      <x:c r="A708" t="inlineStr">
        <x:is>
          <x:t xml:space="preserve">P08</x:t>
        </x:is>
      </x:c>
      <x:c r="B708" t="inlineStr">
        <x:is>
          <x:t xml:space="preserve">S4_2</x:t>
        </x:is>
      </x:c>
      <x:c r="C708" t="n">
        <x:v>1</x:v>
      </x:c>
    </x:row>
    <x:row r="709">
      <x:c r="A709" t="inlineStr">
        <x:is>
          <x:t xml:space="preserve">P08</x:t>
        </x:is>
      </x:c>
      <x:c r="B709" t="inlineStr">
        <x:is>
          <x:t xml:space="preserve">S5_4</x:t>
        </x:is>
      </x:c>
      <x:c r="C709" t="n">
        <x:v>1</x:v>
      </x:c>
    </x:row>
    <x:row r="710">
      <x:c r="A710" t="inlineStr">
        <x:is>
          <x:t xml:space="preserve">P08</x:t>
        </x:is>
      </x:c>
      <x:c r="B710" t="inlineStr">
        <x:is>
          <x:t xml:space="preserve">S6_1</x:t>
        </x:is>
      </x:c>
      <x:c r="C710" t="n">
        <x:v>1</x:v>
      </x:c>
    </x:row>
    <x:row r="711">
      <x:c r="A711" t="inlineStr">
        <x:is>
          <x:t xml:space="preserve">P08</x:t>
        </x:is>
      </x:c>
      <x:c r="B711" t="inlineStr">
        <x:is>
          <x:t xml:space="preserve">S7_4</x:t>
        </x:is>
      </x:c>
      <x:c r="C711" t="n">
        <x:v>1</x:v>
      </x:c>
    </x:row>
    <x:row r="712">
      <x:c r="A712" t="inlineStr">
        <x:is>
          <x:t xml:space="preserve">P08</x:t>
        </x:is>
      </x:c>
      <x:c r="B712" t="inlineStr">
        <x:is>
          <x:t xml:space="preserve">S8_1</x:t>
        </x:is>
      </x:c>
      <x:c r="C712" t="n">
        <x:v>1</x:v>
      </x:c>
    </x:row>
    <x:row r="713">
      <x:c r="A713" t="inlineStr">
        <x:is>
          <x:t xml:space="preserve">P08</x:t>
        </x:is>
      </x:c>
      <x:c r="B713" t="inlineStr">
        <x:is>
          <x:t xml:space="preserve">S9_4</x:t>
        </x:is>
      </x:c>
      <x:c r="C713" t="n">
        <x:v>1</x:v>
      </x:c>
    </x:row>
    <x:row r="714">
      <x:c r="A714" t="inlineStr">
        <x:is>
          <x:t xml:space="preserve">P08</x:t>
        </x:is>
      </x:c>
      <x:c r="B714" t="inlineStr">
        <x:is>
          <x:t xml:space="preserve">TOK_C_1</x:t>
        </x:is>
      </x:c>
      <x:c r="C714" t="n">
        <x:v>1</x:v>
      </x:c>
    </x:row>
    <x:row r="715">
      <x:c r="A715" t="inlineStr">
        <x:is>
          <x:t xml:space="preserve">P08</x:t>
        </x:is>
      </x:c>
      <x:c r="B715" t="inlineStr">
        <x:is>
          <x:t xml:space="preserve">TOK_C_2</x:t>
        </x:is>
      </x:c>
      <x:c r="C715" t="n">
        <x:v>1</x:v>
      </x:c>
    </x:row>
    <x:row r="716">
      <x:c r="A716" t="inlineStr">
        <x:is>
          <x:t xml:space="preserve">P08</x:t>
        </x:is>
      </x:c>
      <x:c r="B716" t="inlineStr">
        <x:is>
          <x:t xml:space="preserve">TOK_C_3</x:t>
        </x:is>
      </x:c>
      <x:c r="C716" t="n">
        <x:v>1</x:v>
      </x:c>
    </x:row>
    <x:row r="717">
      <x:c r="A717" t="inlineStr">
        <x:is>
          <x:t xml:space="preserve">P08</x:t>
        </x:is>
      </x:c>
      <x:c r="B717" t="inlineStr">
        <x:is>
          <x:t xml:space="preserve">TOK_S_1</x:t>
        </x:is>
      </x:c>
      <x:c r="C717" t="n">
        <x:v>1</x:v>
      </x:c>
    </x:row>
    <x:row r="718">
      <x:c r="A718" t="inlineStr">
        <x:is>
          <x:t xml:space="preserve">P08</x:t>
        </x:is>
      </x:c>
      <x:c r="B718" t="inlineStr">
        <x:is>
          <x:t xml:space="preserve">TOK_S_2</x:t>
        </x:is>
      </x:c>
      <x:c r="C718" t="n">
        <x:v>1</x:v>
      </x:c>
    </x:row>
    <x:row r="719">
      <x:c r="A719" t="inlineStr">
        <x:is>
          <x:t xml:space="preserve">P08</x:t>
        </x:is>
      </x:c>
      <x:c r="B719" t="inlineStr">
        <x:is>
          <x:t xml:space="preserve">TOK_T_1</x:t>
        </x:is>
      </x:c>
      <x:c r="C719" t="n">
        <x:v>1</x:v>
      </x:c>
    </x:row>
    <x:row r="720">
      <x:c r="A720" t="inlineStr">
        <x:is>
          <x:t xml:space="preserve">P08</x:t>
        </x:is>
      </x:c>
      <x:c r="B720" t="inlineStr">
        <x:is>
          <x:t xml:space="preserve">TOK_T_2</x:t>
        </x:is>
      </x:c>
      <x:c r="C720" t="n">
        <x:v>1</x:v>
      </x:c>
    </x:row>
    <x:row r="721">
      <x:c r="A721" t="inlineStr">
        <x:is>
          <x:t xml:space="preserve">P08</x:t>
        </x:is>
      </x:c>
      <x:c r="B721" t="inlineStr">
        <x:is>
          <x:t xml:space="preserve">TOK_T_3</x:t>
        </x:is>
      </x:c>
      <x:c r="C721" t="n">
        <x:v>1</x:v>
      </x:c>
    </x:row>
    <x:row r="722">
      <x:c r="A722" t="inlineStr">
        <x:is>
          <x:t xml:space="preserve">P08</x:t>
        </x:is>
      </x:c>
      <x:c r="B722" t="inlineStr">
        <x:is>
          <x:t xml:space="preserve">TOK_T_4</x:t>
        </x:is>
      </x:c>
      <x:c r="C722" t="n">
        <x:v>1</x:v>
      </x:c>
    </x:row>
    <x:row r="723">
      <x:c r="A723" t="inlineStr">
        <x:is>
          <x:t xml:space="preserve">P08</x:t>
        </x:is>
      </x:c>
      <x:c r="B723" t="inlineStr">
        <x:is>
          <x:t xml:space="preserve">TOK_T_5</x:t>
        </x:is>
      </x:c>
      <x:c r="C723" t="n">
        <x:v>1</x:v>
      </x:c>
    </x:row>
    <x:row r="724">
      <x:c r="A724" t="inlineStr">
        <x:is>
          <x:t xml:space="preserve">P08</x:t>
        </x:is>
      </x:c>
      <x:c r="B724" t="inlineStr">
        <x:is>
          <x:t xml:space="preserve">V1_1_2</x:t>
        </x:is>
      </x:c>
      <x:c r="C724" t="n">
        <x:v>1</x:v>
      </x:c>
    </x:row>
    <x:row r="725">
      <x:c r="A725" t="inlineStr">
        <x:is>
          <x:t xml:space="preserve">P08</x:t>
        </x:is>
      </x:c>
      <x:c r="B725" t="inlineStr">
        <x:is>
          <x:t xml:space="preserve">V1_2_3</x:t>
        </x:is>
      </x:c>
      <x:c r="C725" t="n">
        <x:v>1</x:v>
      </x:c>
    </x:row>
    <x:row r="726">
      <x:c r="A726" t="inlineStr">
        <x:is>
          <x:t xml:space="preserve">P08</x:t>
        </x:is>
      </x:c>
      <x:c r="B726" t="inlineStr">
        <x:is>
          <x:t xml:space="preserve">V1_3_3</x:t>
        </x:is>
      </x:c>
      <x:c r="C726" t="n">
        <x:v>1</x:v>
      </x:c>
    </x:row>
    <x:row r="727">
      <x:c r="A727" t="inlineStr">
        <x:is>
          <x:t xml:space="preserve">P08</x:t>
        </x:is>
      </x:c>
      <x:c r="B727" t="inlineStr">
        <x:is>
          <x:t xml:space="preserve">V2_1_2</x:t>
        </x:is>
      </x:c>
      <x:c r="C727" t="n">
        <x:v>1</x:v>
      </x:c>
    </x:row>
    <x:row r="728">
      <x:c r="A728" t="inlineStr">
        <x:is>
          <x:t xml:space="preserve">P08</x:t>
        </x:is>
      </x:c>
      <x:c r="B728" t="inlineStr">
        <x:is>
          <x:t xml:space="preserve">V2_2_3</x:t>
        </x:is>
      </x:c>
      <x:c r="C728" t="n">
        <x:v>1</x:v>
      </x:c>
    </x:row>
    <x:row r="729">
      <x:c r="A729" t="inlineStr">
        <x:is>
          <x:t xml:space="preserve">P08</x:t>
        </x:is>
      </x:c>
      <x:c r="B729" t="inlineStr">
        <x:is>
          <x:t xml:space="preserve">V2_3_4</x:t>
        </x:is>
      </x:c>
      <x:c r="C729" t="n">
        <x:v>1</x:v>
      </x:c>
    </x:row>
    <x:row r="730">
      <x:c r="A730" t="inlineStr">
        <x:is>
          <x:t xml:space="preserve">P08</x:t>
        </x:is>
      </x:c>
      <x:c r="B730" t="inlineStr">
        <x:is>
          <x:t xml:space="preserve">COMMENTO</x:t>
        </x:is>
      </x:c>
      <x:c r="C730" t="inlineStr">
        <x:is>
          <x:t xml:space="preserve">…………………………</x:t>
        </x:is>
      </x:c>
    </x:row>
    <x:row r="731">
      <x:c r="A731" t="inlineStr">
        <x:is>
          <x:t xml:space="preserve">P08</x:t>
        </x:is>
      </x:c>
      <x:c r="B731" t="inlineStr">
        <x:is>
          <x:t xml:space="preserve">T_FINE</x:t>
        </x:is>
      </x:c>
      <x:c r="C731" t="inlineStr">
        <x:is>
          <x:t xml:space="preserve">hh:mm</x:t>
        </x:is>
      </x:c>
    </x:row>
    <x:row r="732">
      <x:c r="A732" t="inlineStr">
        <x:is>
          <x:t xml:space="preserve">P08</x:t>
        </x:is>
      </x:c>
      <x:c r="B732" t="inlineStr">
        <x:is>
          <x:t xml:space="preserve">T_INIZIO</x:t>
        </x:is>
      </x:c>
      <x:c r="C732" t="inlineStr">
        <x:is>
          <x:t xml:space="preserve">hh:mm</x:t>
        </x:is>
      </x:c>
    </x:row>
    <x:row r="733">
      <x:c r="A733" t="inlineStr">
        <x:is>
          <x:t xml:space="preserve">P09</x:t>
        </x:is>
      </x:c>
      <x:c r="B733" t="inlineStr">
        <x:is>
          <x:t xml:space="preserve">ADESIONE_1</x:t>
        </x:is>
      </x:c>
      <x:c r="C733" t="n">
        <x:v>1</x:v>
      </x:c>
    </x:row>
    <x:row r="734">
      <x:c r="A734" t="inlineStr">
        <x:is>
          <x:t xml:space="preserve">P09</x:t>
        </x:is>
      </x:c>
      <x:c r="B734" t="inlineStr">
        <x:is>
          <x:t xml:space="preserve">C1_D1_1</x:t>
        </x:is>
      </x:c>
      <x:c r="C734" t="n">
        <x:v>1</x:v>
      </x:c>
    </x:row>
    <x:row r="735">
      <x:c r="A735" t="inlineStr">
        <x:is>
          <x:t xml:space="preserve">P09</x:t>
        </x:is>
      </x:c>
      <x:c r="B735" t="inlineStr">
        <x:is>
          <x:t xml:space="preserve">C1_D2_4</x:t>
        </x:is>
      </x:c>
      <x:c r="C735" t="n">
        <x:v>1</x:v>
      </x:c>
    </x:row>
    <x:row r="736">
      <x:c r="A736" t="inlineStr">
        <x:is>
          <x:t xml:space="preserve">P09</x:t>
        </x:is>
      </x:c>
      <x:c r="B736" t="inlineStr">
        <x:is>
          <x:t xml:space="preserve">C1_D3_2</x:t>
        </x:is>
      </x:c>
      <x:c r="C736" t="n">
        <x:v>1</x:v>
      </x:c>
    </x:row>
    <x:row r="737">
      <x:c r="A737" t="inlineStr">
        <x:is>
          <x:t xml:space="preserve">P09</x:t>
        </x:is>
      </x:c>
      <x:c r="B737" t="inlineStr">
        <x:is>
          <x:t xml:space="preserve">C1_D3_5</x:t>
        </x:is>
      </x:c>
      <x:c r="C737" t="n">
        <x:v>1</x:v>
      </x:c>
    </x:row>
    <x:row r="738">
      <x:c r="A738" t="inlineStr">
        <x:is>
          <x:t xml:space="preserve">P09</x:t>
        </x:is>
      </x:c>
      <x:c r="B738" t="inlineStr">
        <x:is>
          <x:t xml:space="preserve">C1_D4_8</x:t>
        </x:is>
      </x:c>
      <x:c r="C738" t="n">
        <x:v>1</x:v>
      </x:c>
    </x:row>
    <x:row r="739">
      <x:c r="A739" t="inlineStr">
        <x:is>
          <x:t xml:space="preserve">P09</x:t>
        </x:is>
      </x:c>
      <x:c r="B739" t="inlineStr">
        <x:is>
          <x:t xml:space="preserve">C1_D5_7</x:t>
        </x:is>
      </x:c>
      <x:c r="C739" t="n">
        <x:v>1</x:v>
      </x:c>
    </x:row>
    <x:row r="740">
      <x:c r="A740" t="inlineStr">
        <x:is>
          <x:t xml:space="preserve">P09</x:t>
        </x:is>
      </x:c>
      <x:c r="B740" t="inlineStr">
        <x:is>
          <x:t xml:space="preserve">C1_L1_2</x:t>
        </x:is>
      </x:c>
      <x:c r="C740" t="n">
        <x:v>1</x:v>
      </x:c>
    </x:row>
    <x:row r="741">
      <x:c r="A741" t="inlineStr">
        <x:is>
          <x:t xml:space="preserve">P09</x:t>
        </x:is>
      </x:c>
      <x:c r="B741" t="inlineStr">
        <x:is>
          <x:t xml:space="preserve">C1_L2_4</x:t>
        </x:is>
      </x:c>
      <x:c r="C741" t="n">
        <x:v>1</x:v>
      </x:c>
    </x:row>
    <x:row r="742">
      <x:c r="A742" t="inlineStr">
        <x:is>
          <x:t xml:space="preserve">P09</x:t>
        </x:is>
      </x:c>
      <x:c r="B742" t="inlineStr">
        <x:is>
          <x:t xml:space="preserve">C1_L3_1</x:t>
        </x:is>
      </x:c>
      <x:c r="C742" t="n">
        <x:v>1</x:v>
      </x:c>
    </x:row>
    <x:row r="743">
      <x:c r="A743" t="inlineStr">
        <x:is>
          <x:t xml:space="preserve">P09</x:t>
        </x:is>
      </x:c>
      <x:c r="B743" t="inlineStr">
        <x:is>
          <x:t xml:space="preserve">C2_D1_1</x:t>
        </x:is>
      </x:c>
      <x:c r="C743" t="n">
        <x:v>1</x:v>
      </x:c>
    </x:row>
    <x:row r="744">
      <x:c r="A744" t="inlineStr">
        <x:is>
          <x:t xml:space="preserve">P09</x:t>
        </x:is>
      </x:c>
      <x:c r="B744" t="inlineStr">
        <x:is>
          <x:t xml:space="preserve">C2_D2_4</x:t>
        </x:is>
      </x:c>
      <x:c r="C744" t="n">
        <x:v>1</x:v>
      </x:c>
    </x:row>
    <x:row r="745">
      <x:c r="A745" t="inlineStr">
        <x:is>
          <x:t xml:space="preserve">P09</x:t>
        </x:is>
      </x:c>
      <x:c r="B745" t="inlineStr">
        <x:is>
          <x:t xml:space="preserve">C2_D3_2</x:t>
        </x:is>
      </x:c>
      <x:c r="C745" t="n">
        <x:v>1</x:v>
      </x:c>
    </x:row>
    <x:row r="746">
      <x:c r="A746" t="inlineStr">
        <x:is>
          <x:t xml:space="preserve">P09</x:t>
        </x:is>
      </x:c>
      <x:c r="B746" t="inlineStr">
        <x:is>
          <x:t xml:space="preserve">C2_D3_8</x:t>
        </x:is>
      </x:c>
      <x:c r="C746" t="n">
        <x:v>1</x:v>
      </x:c>
    </x:row>
    <x:row r="747">
      <x:c r="A747" t="inlineStr">
        <x:is>
          <x:t xml:space="preserve">P09</x:t>
        </x:is>
      </x:c>
      <x:c r="B747" t="inlineStr">
        <x:is>
          <x:t xml:space="preserve">C2_D4_5</x:t>
        </x:is>
      </x:c>
      <x:c r="C747" t="n">
        <x:v>1</x:v>
      </x:c>
    </x:row>
    <x:row r="748">
      <x:c r="A748" t="inlineStr">
        <x:is>
          <x:t xml:space="preserve">P09</x:t>
        </x:is>
      </x:c>
      <x:c r="B748" t="inlineStr">
        <x:is>
          <x:t xml:space="preserve">C2_D5_6</x:t>
        </x:is>
      </x:c>
      <x:c r="C748" t="n">
        <x:v>1</x:v>
      </x:c>
    </x:row>
    <x:row r="749">
      <x:c r="A749" t="inlineStr">
        <x:is>
          <x:t xml:space="preserve">P09</x:t>
        </x:is>
      </x:c>
      <x:c r="B749" t="inlineStr">
        <x:is>
          <x:t xml:space="preserve">C2_L1_2</x:t>
        </x:is>
      </x:c>
      <x:c r="C749" t="n">
        <x:v>1</x:v>
      </x:c>
    </x:row>
    <x:row r="750">
      <x:c r="A750" t="inlineStr">
        <x:is>
          <x:t xml:space="preserve">P09</x:t>
        </x:is>
      </x:c>
      <x:c r="B750" t="inlineStr">
        <x:is>
          <x:t xml:space="preserve">C2_L2_2</x:t>
        </x:is>
      </x:c>
      <x:c r="C750" t="n">
        <x:v>1</x:v>
      </x:c>
    </x:row>
    <x:row r="751">
      <x:c r="A751" t="inlineStr">
        <x:is>
          <x:t xml:space="preserve">P09</x:t>
        </x:is>
      </x:c>
      <x:c r="B751" t="inlineStr">
        <x:is>
          <x:t xml:space="preserve">C2_L3_4</x:t>
        </x:is>
      </x:c>
      <x:c r="C751" t="n">
        <x:v>1</x:v>
      </x:c>
    </x:row>
    <x:row r="752">
      <x:c r="A752" t="inlineStr">
        <x:is>
          <x:t xml:space="preserve">P09</x:t>
        </x:is>
      </x:c>
      <x:c r="B752" t="inlineStr">
        <x:is>
          <x:t xml:space="preserve">C3_D1_3</x:t>
        </x:is>
      </x:c>
      <x:c r="C752" t="n">
        <x:v>1</x:v>
      </x:c>
    </x:row>
    <x:row r="753">
      <x:c r="A753" t="inlineStr">
        <x:is>
          <x:t xml:space="preserve">P09</x:t>
        </x:is>
      </x:c>
      <x:c r="B753" t="inlineStr">
        <x:is>
          <x:t xml:space="preserve">C3_D2_7</x:t>
        </x:is>
      </x:c>
      <x:c r="C753" t="n">
        <x:v>1</x:v>
      </x:c>
    </x:row>
    <x:row r="754">
      <x:c r="A754" t="inlineStr">
        <x:is>
          <x:t xml:space="preserve">P09</x:t>
        </x:is>
      </x:c>
      <x:c r="B754" t="inlineStr">
        <x:is>
          <x:t xml:space="preserve">C3_D3_3</x:t>
        </x:is>
      </x:c>
      <x:c r="C754" t="n">
        <x:v>1</x:v>
      </x:c>
    </x:row>
    <x:row r="755">
      <x:c r="A755" t="inlineStr">
        <x:is>
          <x:t xml:space="preserve">P09</x:t>
        </x:is>
      </x:c>
      <x:c r="B755" t="inlineStr">
        <x:is>
          <x:t xml:space="preserve">C3_D3_8</x:t>
        </x:is>
      </x:c>
      <x:c r="C755" t="n">
        <x:v>1</x:v>
      </x:c>
    </x:row>
    <x:row r="756">
      <x:c r="A756" t="inlineStr">
        <x:is>
          <x:t xml:space="preserve">P09</x:t>
        </x:is>
      </x:c>
      <x:c r="B756" t="inlineStr">
        <x:is>
          <x:t xml:space="preserve">C3_D4_5</x:t>
        </x:is>
      </x:c>
      <x:c r="C756" t="n">
        <x:v>1</x:v>
      </x:c>
    </x:row>
    <x:row r="757">
      <x:c r="A757" t="inlineStr">
        <x:is>
          <x:t xml:space="preserve">P09</x:t>
        </x:is>
      </x:c>
      <x:c r="B757" t="inlineStr">
        <x:is>
          <x:t xml:space="preserve">C3_D5_5</x:t>
        </x:is>
      </x:c>
      <x:c r="C757" t="n">
        <x:v>1</x:v>
      </x:c>
    </x:row>
    <x:row r="758">
      <x:c r="A758" t="inlineStr">
        <x:is>
          <x:t xml:space="preserve">P09</x:t>
        </x:is>
      </x:c>
      <x:c r="B758" t="inlineStr">
        <x:is>
          <x:t xml:space="preserve">C3_L1_3</x:t>
        </x:is>
      </x:c>
      <x:c r="C758" t="n">
        <x:v>1</x:v>
      </x:c>
    </x:row>
    <x:row r="759">
      <x:c r="A759" t="inlineStr">
        <x:is>
          <x:t xml:space="preserve">P09</x:t>
        </x:is>
      </x:c>
      <x:c r="B759" t="inlineStr">
        <x:is>
          <x:t xml:space="preserve">C3_L2_2</x:t>
        </x:is>
      </x:c>
      <x:c r="C759" t="n">
        <x:v>1</x:v>
      </x:c>
    </x:row>
    <x:row r="760">
      <x:c r="A760" t="inlineStr">
        <x:is>
          <x:t xml:space="preserve">P09</x:t>
        </x:is>
      </x:c>
      <x:c r="B760" t="inlineStr">
        <x:is>
          <x:t xml:space="preserve">C3_L3_2</x:t>
        </x:is>
      </x:c>
      <x:c r="C760" t="n">
        <x:v>1</x:v>
      </x:c>
    </x:row>
    <x:row r="761">
      <x:c r="A761" t="inlineStr">
        <x:is>
          <x:t xml:space="preserve">P09</x:t>
        </x:is>
      </x:c>
      <x:c r="B761" t="inlineStr">
        <x:is>
          <x:t xml:space="preserve">C4_D1_4</x:t>
        </x:is>
      </x:c>
      <x:c r="C761" t="n">
        <x:v>1</x:v>
      </x:c>
    </x:row>
    <x:row r="762">
      <x:c r="A762" t="inlineStr">
        <x:is>
          <x:t xml:space="preserve">P09</x:t>
        </x:is>
      </x:c>
      <x:c r="B762" t="inlineStr">
        <x:is>
          <x:t xml:space="preserve">C4_D2_7</x:t>
        </x:is>
      </x:c>
      <x:c r="C762" t="n">
        <x:v>1</x:v>
      </x:c>
    </x:row>
    <x:row r="763">
      <x:c r="A763" t="inlineStr">
        <x:is>
          <x:t xml:space="preserve">P09</x:t>
        </x:is>
      </x:c>
      <x:c r="B763" t="inlineStr">
        <x:is>
          <x:t xml:space="preserve">C4_D3_3</x:t>
        </x:is>
      </x:c>
      <x:c r="C763" t="n">
        <x:v>1</x:v>
      </x:c>
    </x:row>
    <x:row r="764">
      <x:c r="A764" t="inlineStr">
        <x:is>
          <x:t xml:space="preserve">P09</x:t>
        </x:is>
      </x:c>
      <x:c r="B764" t="inlineStr">
        <x:is>
          <x:t xml:space="preserve">C4_D3_8</x:t>
        </x:is>
      </x:c>
      <x:c r="C764" t="n">
        <x:v>1</x:v>
      </x:c>
    </x:row>
    <x:row r="765">
      <x:c r="A765" t="inlineStr">
        <x:is>
          <x:t xml:space="preserve">P09</x:t>
        </x:is>
      </x:c>
      <x:c r="B765" t="inlineStr">
        <x:is>
          <x:t xml:space="preserve">C4_D4_5</x:t>
        </x:is>
      </x:c>
      <x:c r="C765" t="n">
        <x:v>1</x:v>
      </x:c>
    </x:row>
    <x:row r="766">
      <x:c r="A766" t="inlineStr">
        <x:is>
          <x:t xml:space="preserve">P09</x:t>
        </x:is>
      </x:c>
      <x:c r="B766" t="inlineStr">
        <x:is>
          <x:t xml:space="preserve">C4_D5_5</x:t>
        </x:is>
      </x:c>
      <x:c r="C766" t="n">
        <x:v>1</x:v>
      </x:c>
    </x:row>
    <x:row r="767">
      <x:c r="A767" t="inlineStr">
        <x:is>
          <x:t xml:space="preserve">P09</x:t>
        </x:is>
      </x:c>
      <x:c r="B767" t="inlineStr">
        <x:is>
          <x:t xml:space="preserve">C4_L1_4</x:t>
        </x:is>
      </x:c>
      <x:c r="C767" t="n">
        <x:v>1</x:v>
      </x:c>
    </x:row>
    <x:row r="768">
      <x:c r="A768" t="inlineStr">
        <x:is>
          <x:t xml:space="preserve">P09</x:t>
        </x:is>
      </x:c>
      <x:c r="B768" t="inlineStr">
        <x:is>
          <x:t xml:space="preserve">C4_L2_3</x:t>
        </x:is>
      </x:c>
      <x:c r="C768" t="n">
        <x:v>1</x:v>
      </x:c>
    </x:row>
    <x:row r="769">
      <x:c r="A769" t="inlineStr">
        <x:is>
          <x:t xml:space="preserve">P09</x:t>
        </x:is>
      </x:c>
      <x:c r="B769" t="inlineStr">
        <x:is>
          <x:t xml:space="preserve">C4_L3_2</x:t>
        </x:is>
      </x:c>
      <x:c r="C769" t="n">
        <x:v>1</x:v>
      </x:c>
    </x:row>
    <x:row r="770">
      <x:c r="A770" t="inlineStr">
        <x:is>
          <x:t xml:space="preserve">P09</x:t>
        </x:is>
      </x:c>
      <x:c r="B770" t="inlineStr">
        <x:is>
          <x:t xml:space="preserve">C5_D1_6</x:t>
        </x:is>
      </x:c>
      <x:c r="C770" t="n">
        <x:v>1</x:v>
      </x:c>
    </x:row>
    <x:row r="771">
      <x:c r="A771" t="inlineStr">
        <x:is>
          <x:t xml:space="preserve">P09</x:t>
        </x:is>
      </x:c>
      <x:c r="B771" t="inlineStr">
        <x:is>
          <x:t xml:space="preserve">C5_D2_7</x:t>
        </x:is>
      </x:c>
      <x:c r="C771" t="n">
        <x:v>1</x:v>
      </x:c>
    </x:row>
    <x:row r="772">
      <x:c r="A772" t="inlineStr">
        <x:is>
          <x:t xml:space="preserve">P09</x:t>
        </x:is>
      </x:c>
      <x:c r="B772" t="inlineStr">
        <x:is>
          <x:t xml:space="preserve">C5_D3_3</x:t>
        </x:is>
      </x:c>
      <x:c r="C772" t="n">
        <x:v>1</x:v>
      </x:c>
    </x:row>
    <x:row r="773">
      <x:c r="A773" t="inlineStr">
        <x:is>
          <x:t xml:space="preserve">P09</x:t>
        </x:is>
      </x:c>
      <x:c r="B773" t="inlineStr">
        <x:is>
          <x:t xml:space="preserve">C5_D3_8</x:t>
        </x:is>
      </x:c>
      <x:c r="C773" t="n">
        <x:v>1</x:v>
      </x:c>
    </x:row>
    <x:row r="774">
      <x:c r="A774" t="inlineStr">
        <x:is>
          <x:t xml:space="preserve">P09</x:t>
        </x:is>
      </x:c>
      <x:c r="B774" t="inlineStr">
        <x:is>
          <x:t xml:space="preserve">C5_D4_5</x:t>
        </x:is>
      </x:c>
      <x:c r="C774" t="n">
        <x:v>1</x:v>
      </x:c>
    </x:row>
    <x:row r="775">
      <x:c r="A775" t="inlineStr">
        <x:is>
          <x:t xml:space="preserve">P09</x:t>
        </x:is>
      </x:c>
      <x:c r="B775" t="inlineStr">
        <x:is>
          <x:t xml:space="preserve">C5_D5_6</x:t>
        </x:is>
      </x:c>
      <x:c r="C775" t="n">
        <x:v>1</x:v>
      </x:c>
    </x:row>
    <x:row r="776">
      <x:c r="A776" t="inlineStr">
        <x:is>
          <x:t xml:space="preserve">P09</x:t>
        </x:is>
      </x:c>
      <x:c r="B776" t="inlineStr">
        <x:is>
          <x:t xml:space="preserve">C5_L1_6</x:t>
        </x:is>
      </x:c>
      <x:c r="C776" t="n">
        <x:v>1</x:v>
      </x:c>
    </x:row>
    <x:row r="777">
      <x:c r="A777" t="inlineStr">
        <x:is>
          <x:t xml:space="preserve">P09</x:t>
        </x:is>
      </x:c>
      <x:c r="B777" t="inlineStr">
        <x:is>
          <x:t xml:space="preserve">C5_L2_5</x:t>
        </x:is>
      </x:c>
      <x:c r="C777" t="n">
        <x:v>1</x:v>
      </x:c>
    </x:row>
    <x:row r="778">
      <x:c r="A778" t="inlineStr">
        <x:is>
          <x:t xml:space="preserve">P09</x:t>
        </x:is>
      </x:c>
      <x:c r="B778" t="inlineStr">
        <x:is>
          <x:t xml:space="preserve">C5_L3_2</x:t>
        </x:is>
      </x:c>
      <x:c r="C778" t="n">
        <x:v>1</x:v>
      </x:c>
    </x:row>
    <x:row r="779">
      <x:c r="A779" t="inlineStr">
        <x:is>
          <x:t xml:space="preserve">P09</x:t>
        </x:is>
      </x:c>
      <x:c r="B779" t="inlineStr">
        <x:is>
          <x:t xml:space="preserve">F1_3</x:t>
        </x:is>
      </x:c>
      <x:c r="C779" t="n">
        <x:v>1</x:v>
      </x:c>
    </x:row>
    <x:row r="780">
      <x:c r="A780" t="inlineStr">
        <x:is>
          <x:t xml:space="preserve">P09</x:t>
        </x:is>
      </x:c>
      <x:c r="B780" t="inlineStr">
        <x:is>
          <x:t xml:space="preserve">F2_3</x:t>
        </x:is>
      </x:c>
      <x:c r="C780" t="n">
        <x:v>1</x:v>
      </x:c>
    </x:row>
    <x:row r="781">
      <x:c r="A781" t="inlineStr">
        <x:is>
          <x:t xml:space="preserve">P09</x:t>
        </x:is>
      </x:c>
      <x:c r="B781" t="inlineStr">
        <x:is>
          <x:t xml:space="preserve">F2_4</x:t>
        </x:is>
      </x:c>
      <x:c r="C781" t="n">
        <x:v>1</x:v>
      </x:c>
    </x:row>
    <x:row r="782">
      <x:c r="A782" t="inlineStr">
        <x:is>
          <x:t xml:space="preserve">P09</x:t>
        </x:is>
      </x:c>
      <x:c r="B782" t="inlineStr">
        <x:is>
          <x:t xml:space="preserve">G1_5</x:t>
        </x:is>
      </x:c>
      <x:c r="C782" t="n">
        <x:v>1</x:v>
      </x:c>
    </x:row>
    <x:row r="783">
      <x:c r="A783" t="inlineStr">
        <x:is>
          <x:t xml:space="preserve">P09</x:t>
        </x:is>
      </x:c>
      <x:c r="B783" t="inlineStr">
        <x:is>
          <x:t xml:space="preserve">G2_4</x:t>
        </x:is>
      </x:c>
      <x:c r="C783" t="n">
        <x:v>1</x:v>
      </x:c>
    </x:row>
    <x:row r="784">
      <x:c r="A784" t="inlineStr">
        <x:is>
          <x:t xml:space="preserve">P09</x:t>
        </x:is>
      </x:c>
      <x:c r="B784" t="inlineStr">
        <x:is>
          <x:t xml:space="preserve">G3_4</x:t>
        </x:is>
      </x:c>
      <x:c r="C784" t="n">
        <x:v>1</x:v>
      </x:c>
    </x:row>
    <x:row r="785">
      <x:c r="A785" t="inlineStr">
        <x:is>
          <x:t xml:space="preserve">P09</x:t>
        </x:is>
      </x:c>
      <x:c r="B785" t="inlineStr">
        <x:is>
          <x:t xml:space="preserve">G4_4</x:t>
        </x:is>
      </x:c>
      <x:c r="C785" t="n">
        <x:v>1</x:v>
      </x:c>
    </x:row>
    <x:row r="786">
      <x:c r="A786" t="inlineStr">
        <x:is>
          <x:t xml:space="preserve">P09</x:t>
        </x:is>
      </x:c>
      <x:c r="B786" t="inlineStr">
        <x:is>
          <x:t xml:space="preserve">G5_3</x:t>
        </x:is>
      </x:c>
      <x:c r="C786" t="n">
        <x:v>1</x:v>
      </x:c>
    </x:row>
    <x:row r="787">
      <x:c r="A787" t="inlineStr">
        <x:is>
          <x:t xml:space="preserve">P09</x:t>
        </x:is>
      </x:c>
      <x:c r="B787" t="inlineStr">
        <x:is>
          <x:t xml:space="preserve">G6_2</x:t>
        </x:is>
      </x:c>
      <x:c r="C787" t="n">
        <x:v>1</x:v>
      </x:c>
    </x:row>
    <x:row r="788">
      <x:c r="A788" t="inlineStr">
        <x:is>
          <x:t xml:space="preserve">P09</x:t>
        </x:is>
      </x:c>
      <x:c r="B788" t="inlineStr">
        <x:is>
          <x:t xml:space="preserve">G7_4</x:t>
        </x:is>
      </x:c>
      <x:c r="C788" t="n">
        <x:v>1</x:v>
      </x:c>
    </x:row>
    <x:row r="789">
      <x:c r="A789" t="inlineStr">
        <x:is>
          <x:t xml:space="preserve">P09</x:t>
        </x:is>
      </x:c>
      <x:c r="B789" t="inlineStr">
        <x:is>
          <x:t xml:space="preserve">P0A_2</x:t>
        </x:is>
      </x:c>
      <x:c r="C789" t="n">
        <x:v>1</x:v>
      </x:c>
    </x:row>
    <x:row r="790">
      <x:c r="A790" t="inlineStr">
        <x:is>
          <x:t xml:space="preserve">P09</x:t>
        </x:is>
      </x:c>
      <x:c r="B790" t="inlineStr">
        <x:is>
          <x:t xml:space="preserve">P0B_2</x:t>
        </x:is>
      </x:c>
      <x:c r="C790" t="n">
        <x:v>1</x:v>
      </x:c>
    </x:row>
    <x:row r="791">
      <x:c r="A791" t="inlineStr">
        <x:is>
          <x:t xml:space="preserve">P09</x:t>
        </x:is>
      </x:c>
      <x:c r="B791" t="inlineStr">
        <x:is>
          <x:t xml:space="preserve">P0C_3</x:t>
        </x:is>
      </x:c>
      <x:c r="C791" t="n">
        <x:v>1</x:v>
      </x:c>
    </x:row>
    <x:row r="792">
      <x:c r="A792" t="inlineStr">
        <x:is>
          <x:t xml:space="preserve">P09</x:t>
        </x:is>
      </x:c>
      <x:c r="B792" t="inlineStr">
        <x:is>
          <x:t xml:space="preserve">PROF_3</x:t>
        </x:is>
      </x:c>
      <x:c r="C792" t="n">
        <x:v>1</x:v>
      </x:c>
    </x:row>
    <x:row r="793">
      <x:c r="A793" t="inlineStr">
        <x:is>
          <x:t xml:space="preserve">P09</x:t>
        </x:is>
      </x:c>
      <x:c r="B793" t="inlineStr">
        <x:is>
          <x:t xml:space="preserve">Q1_2</x:t>
        </x:is>
      </x:c>
      <x:c r="C793" t="n">
        <x:v>1</x:v>
      </x:c>
    </x:row>
    <x:row r="794">
      <x:c r="A794" t="inlineStr">
        <x:is>
          <x:t xml:space="preserve">P09</x:t>
        </x:is>
      </x:c>
      <x:c r="B794" t="inlineStr">
        <x:is>
          <x:t xml:space="preserve">Q2_1</x:t>
        </x:is>
      </x:c>
      <x:c r="C794" t="n">
        <x:v>1</x:v>
      </x:c>
    </x:row>
    <x:row r="795">
      <x:c r="A795" t="inlineStr">
        <x:is>
          <x:t xml:space="preserve">P09</x:t>
        </x:is>
      </x:c>
      <x:c r="B795" t="inlineStr">
        <x:is>
          <x:t xml:space="preserve">Q3_2</x:t>
        </x:is>
      </x:c>
      <x:c r="C795" t="n">
        <x:v>1</x:v>
      </x:c>
    </x:row>
    <x:row r="796">
      <x:c r="A796" t="inlineStr">
        <x:is>
          <x:t xml:space="preserve">P09</x:t>
        </x:is>
      </x:c>
      <x:c r="B796" t="inlineStr">
        <x:is>
          <x:t xml:space="preserve">Q4_2</x:t>
        </x:is>
      </x:c>
      <x:c r="C796" t="n">
        <x:v>1</x:v>
      </x:c>
    </x:row>
    <x:row r="797">
      <x:c r="A797" t="inlineStr">
        <x:is>
          <x:t xml:space="preserve">P09</x:t>
        </x:is>
      </x:c>
      <x:c r="B797" t="inlineStr">
        <x:is>
          <x:t xml:space="preserve">Q5_2</x:t>
        </x:is>
      </x:c>
      <x:c r="C797" t="n">
        <x:v>1</x:v>
      </x:c>
    </x:row>
    <x:row r="798">
      <x:c r="A798" t="inlineStr">
        <x:is>
          <x:t xml:space="preserve">P09</x:t>
        </x:is>
      </x:c>
      <x:c r="B798" t="inlineStr">
        <x:is>
          <x:t xml:space="preserve">S10_2</x:t>
        </x:is>
      </x:c>
      <x:c r="C798" t="n">
        <x:v>1</x:v>
      </x:c>
    </x:row>
    <x:row r="799">
      <x:c r="A799" t="inlineStr">
        <x:is>
          <x:t xml:space="preserve">P09</x:t>
        </x:is>
      </x:c>
      <x:c r="B799" t="inlineStr">
        <x:is>
          <x:t xml:space="preserve">S1_4</x:t>
        </x:is>
      </x:c>
      <x:c r="C799" t="n">
        <x:v>1</x:v>
      </x:c>
    </x:row>
    <x:row r="800">
      <x:c r="A800" t="inlineStr">
        <x:is>
          <x:t xml:space="preserve">P09</x:t>
        </x:is>
      </x:c>
      <x:c r="B800" t="inlineStr">
        <x:is>
          <x:t xml:space="preserve">S2_2</x:t>
        </x:is>
      </x:c>
      <x:c r="C800" t="n">
        <x:v>1</x:v>
      </x:c>
    </x:row>
    <x:row r="801">
      <x:c r="A801" t="inlineStr">
        <x:is>
          <x:t xml:space="preserve">P09</x:t>
        </x:is>
      </x:c>
      <x:c r="B801" t="inlineStr">
        <x:is>
          <x:t xml:space="preserve">S3_4</x:t>
        </x:is>
      </x:c>
      <x:c r="C801" t="n">
        <x:v>1</x:v>
      </x:c>
    </x:row>
    <x:row r="802">
      <x:c r="A802" t="inlineStr">
        <x:is>
          <x:t xml:space="preserve">P09</x:t>
        </x:is>
      </x:c>
      <x:c r="B802" t="inlineStr">
        <x:is>
          <x:t xml:space="preserve">S4_2</x:t>
        </x:is>
      </x:c>
      <x:c r="C802" t="n">
        <x:v>1</x:v>
      </x:c>
    </x:row>
    <x:row r="803">
      <x:c r="A803" t="inlineStr">
        <x:is>
          <x:t xml:space="preserve">P09</x:t>
        </x:is>
      </x:c>
      <x:c r="B803" t="inlineStr">
        <x:is>
          <x:t xml:space="preserve">S5_4</x:t>
        </x:is>
      </x:c>
      <x:c r="C803" t="n">
        <x:v>1</x:v>
      </x:c>
    </x:row>
    <x:row r="804">
      <x:c r="A804" t="inlineStr">
        <x:is>
          <x:t xml:space="preserve">P09</x:t>
        </x:is>
      </x:c>
      <x:c r="B804" t="inlineStr">
        <x:is>
          <x:t xml:space="preserve">S6_1</x:t>
        </x:is>
      </x:c>
      <x:c r="C804" t="n">
        <x:v>1</x:v>
      </x:c>
    </x:row>
    <x:row r="805">
      <x:c r="A805" t="inlineStr">
        <x:is>
          <x:t xml:space="preserve">P09</x:t>
        </x:is>
      </x:c>
      <x:c r="B805" t="inlineStr">
        <x:is>
          <x:t xml:space="preserve">S7_4</x:t>
        </x:is>
      </x:c>
      <x:c r="C805" t="n">
        <x:v>1</x:v>
      </x:c>
    </x:row>
    <x:row r="806">
      <x:c r="A806" t="inlineStr">
        <x:is>
          <x:t xml:space="preserve">P09</x:t>
        </x:is>
      </x:c>
      <x:c r="B806" t="inlineStr">
        <x:is>
          <x:t xml:space="preserve">S8_1</x:t>
        </x:is>
      </x:c>
      <x:c r="C806" t="n">
        <x:v>1</x:v>
      </x:c>
    </x:row>
    <x:row r="807">
      <x:c r="A807" t="inlineStr">
        <x:is>
          <x:t xml:space="preserve">P09</x:t>
        </x:is>
      </x:c>
      <x:c r="B807" t="inlineStr">
        <x:is>
          <x:t xml:space="preserve">S9_4</x:t>
        </x:is>
      </x:c>
      <x:c r="C807" t="n">
        <x:v>1</x:v>
      </x:c>
    </x:row>
    <x:row r="808">
      <x:c r="A808" t="inlineStr">
        <x:is>
          <x:t xml:space="preserve">P09</x:t>
        </x:is>
      </x:c>
      <x:c r="B808" t="inlineStr">
        <x:is>
          <x:t xml:space="preserve">TOK_C_1</x:t>
        </x:is>
      </x:c>
      <x:c r="C808" t="n">
        <x:v>1</x:v>
      </x:c>
    </x:row>
    <x:row r="809">
      <x:c r="A809" t="inlineStr">
        <x:is>
          <x:t xml:space="preserve">P09</x:t>
        </x:is>
      </x:c>
      <x:c r="B809" t="inlineStr">
        <x:is>
          <x:t xml:space="preserve">TOK_C_2</x:t>
        </x:is>
      </x:c>
      <x:c r="C809" t="n">
        <x:v>1</x:v>
      </x:c>
    </x:row>
    <x:row r="810">
      <x:c r="A810" t="inlineStr">
        <x:is>
          <x:t xml:space="preserve">P09</x:t>
        </x:is>
      </x:c>
      <x:c r="B810" t="inlineStr">
        <x:is>
          <x:t xml:space="preserve">TOK_C_3</x:t>
        </x:is>
      </x:c>
      <x:c r="C810" t="n">
        <x:v>1</x:v>
      </x:c>
    </x:row>
    <x:row r="811">
      <x:c r="A811" t="inlineStr">
        <x:is>
          <x:t xml:space="preserve">P09</x:t>
        </x:is>
      </x:c>
      <x:c r="B811" t="inlineStr">
        <x:is>
          <x:t xml:space="preserve">TOK_S_1</x:t>
        </x:is>
      </x:c>
      <x:c r="C811" t="n">
        <x:v>1</x:v>
      </x:c>
    </x:row>
    <x:row r="812">
      <x:c r="A812" t="inlineStr">
        <x:is>
          <x:t xml:space="preserve">P09</x:t>
        </x:is>
      </x:c>
      <x:c r="B812" t="inlineStr">
        <x:is>
          <x:t xml:space="preserve">TOK_S_2</x:t>
        </x:is>
      </x:c>
      <x:c r="C812" t="n">
        <x:v>1</x:v>
      </x:c>
    </x:row>
    <x:row r="813">
      <x:c r="A813" t="inlineStr">
        <x:is>
          <x:t xml:space="preserve">P09</x:t>
        </x:is>
      </x:c>
      <x:c r="B813" t="inlineStr">
        <x:is>
          <x:t xml:space="preserve">TOK_T_1</x:t>
        </x:is>
      </x:c>
      <x:c r="C813" t="n">
        <x:v>1</x:v>
      </x:c>
    </x:row>
    <x:row r="814">
      <x:c r="A814" t="inlineStr">
        <x:is>
          <x:t xml:space="preserve">P09</x:t>
        </x:is>
      </x:c>
      <x:c r="B814" t="inlineStr">
        <x:is>
          <x:t xml:space="preserve">TOK_T_2</x:t>
        </x:is>
      </x:c>
      <x:c r="C814" t="n">
        <x:v>1</x:v>
      </x:c>
    </x:row>
    <x:row r="815">
      <x:c r="A815" t="inlineStr">
        <x:is>
          <x:t xml:space="preserve">P09</x:t>
        </x:is>
      </x:c>
      <x:c r="B815" t="inlineStr">
        <x:is>
          <x:t xml:space="preserve">TOK_T_3</x:t>
        </x:is>
      </x:c>
      <x:c r="C815" t="n">
        <x:v>1</x:v>
      </x:c>
    </x:row>
    <x:row r="816">
      <x:c r="A816" t="inlineStr">
        <x:is>
          <x:t xml:space="preserve">P09</x:t>
        </x:is>
      </x:c>
      <x:c r="B816" t="inlineStr">
        <x:is>
          <x:t xml:space="preserve">TOK_T_4</x:t>
        </x:is>
      </x:c>
      <x:c r="C816" t="n">
        <x:v>1</x:v>
      </x:c>
    </x:row>
    <x:row r="817">
      <x:c r="A817" t="inlineStr">
        <x:is>
          <x:t xml:space="preserve">P09</x:t>
        </x:is>
      </x:c>
      <x:c r="B817" t="inlineStr">
        <x:is>
          <x:t xml:space="preserve">TOK_T_5</x:t>
        </x:is>
      </x:c>
      <x:c r="C817" t="n">
        <x:v>1</x:v>
      </x:c>
    </x:row>
    <x:row r="818">
      <x:c r="A818" t="inlineStr">
        <x:is>
          <x:t xml:space="preserve">P09</x:t>
        </x:is>
      </x:c>
      <x:c r="B818" t="inlineStr">
        <x:is>
          <x:t xml:space="preserve">V1_1_2</x:t>
        </x:is>
      </x:c>
      <x:c r="C818" t="n">
        <x:v>1</x:v>
      </x:c>
    </x:row>
    <x:row r="819">
      <x:c r="A819" t="inlineStr">
        <x:is>
          <x:t xml:space="preserve">P09</x:t>
        </x:is>
      </x:c>
      <x:c r="B819" t="inlineStr">
        <x:is>
          <x:t xml:space="preserve">V1_2_3</x:t>
        </x:is>
      </x:c>
      <x:c r="C819" t="n">
        <x:v>1</x:v>
      </x:c>
    </x:row>
    <x:row r="820">
      <x:c r="A820" t="inlineStr">
        <x:is>
          <x:t xml:space="preserve">P09</x:t>
        </x:is>
      </x:c>
      <x:c r="B820" t="inlineStr">
        <x:is>
          <x:t xml:space="preserve">V1_3_3</x:t>
        </x:is>
      </x:c>
      <x:c r="C820" t="n">
        <x:v>1</x:v>
      </x:c>
    </x:row>
    <x:row r="821">
      <x:c r="A821" t="inlineStr">
        <x:is>
          <x:t xml:space="preserve">P09</x:t>
        </x:is>
      </x:c>
      <x:c r="B821" t="inlineStr">
        <x:is>
          <x:t xml:space="preserve">V2_1_2</x:t>
        </x:is>
      </x:c>
      <x:c r="C821" t="n">
        <x:v>1</x:v>
      </x:c>
    </x:row>
    <x:row r="822">
      <x:c r="A822" t="inlineStr">
        <x:is>
          <x:t xml:space="preserve">P09</x:t>
        </x:is>
      </x:c>
      <x:c r="B822" t="inlineStr">
        <x:is>
          <x:t xml:space="preserve">V2_2_3</x:t>
        </x:is>
      </x:c>
      <x:c r="C822" t="n">
        <x:v>1</x:v>
      </x:c>
    </x:row>
    <x:row r="823">
      <x:c r="A823" t="inlineStr">
        <x:is>
          <x:t xml:space="preserve">P09</x:t>
        </x:is>
      </x:c>
      <x:c r="B823" t="inlineStr">
        <x:is>
          <x:t xml:space="preserve">V2_3_5</x:t>
        </x:is>
      </x:c>
      <x:c r="C823" t="n">
        <x:v>1</x:v>
      </x:c>
    </x:row>
    <x:row r="824">
      <x:c r="A824" t="inlineStr">
        <x:is>
          <x:t xml:space="preserve">P09</x:t>
        </x:is>
      </x:c>
      <x:c r="B824" t="inlineStr">
        <x:is>
          <x:t xml:space="preserve">COMMENTO</x:t>
        </x:is>
      </x:c>
      <x:c r="C824" t="inlineStr">
        <x:is>
          <x:t xml:space="preserve">…………………………</x:t>
        </x:is>
      </x:c>
    </x:row>
    <x:row r="825">
      <x:c r="A825" t="inlineStr">
        <x:is>
          <x:t xml:space="preserve">P09</x:t>
        </x:is>
      </x:c>
      <x:c r="B825" t="inlineStr">
        <x:is>
          <x:t xml:space="preserve">T_FINE</x:t>
        </x:is>
      </x:c>
      <x:c r="C825" t="inlineStr">
        <x:is>
          <x:t xml:space="preserve">hh:mm</x:t>
        </x:is>
      </x:c>
    </x:row>
    <x:row r="826">
      <x:c r="A826" t="inlineStr">
        <x:is>
          <x:t xml:space="preserve">P09</x:t>
        </x:is>
      </x:c>
      <x:c r="B826" t="inlineStr">
        <x:is>
          <x:t xml:space="preserve">T_INIZIO</x:t>
        </x:is>
      </x:c>
      <x:c r="C826" t="inlineStr">
        <x:is>
          <x:t xml:space="preserve">hh:mm</x:t>
        </x:is>
      </x:c>
    </x:row>
    <x:row r="827">
      <x:c r="A827" t="inlineStr">
        <x:is>
          <x:t xml:space="preserve">P10</x:t>
        </x:is>
      </x:c>
      <x:c r="B827" t="inlineStr">
        <x:is>
          <x:t xml:space="preserve">ADESIONE_1</x:t>
        </x:is>
      </x:c>
      <x:c r="C827" t="n">
        <x:v>1</x:v>
      </x:c>
    </x:row>
    <x:row r="828">
      <x:c r="A828" t="inlineStr">
        <x:is>
          <x:t xml:space="preserve">P10</x:t>
        </x:is>
      </x:c>
      <x:c r="B828" t="inlineStr">
        <x:is>
          <x:t xml:space="preserve">C1_D1_3</x:t>
        </x:is>
      </x:c>
      <x:c r="C828" t="n">
        <x:v>1</x:v>
      </x:c>
    </x:row>
    <x:row r="829">
      <x:c r="A829" t="inlineStr">
        <x:is>
          <x:t xml:space="preserve">P10</x:t>
        </x:is>
      </x:c>
      <x:c r="B829" t="inlineStr">
        <x:is>
          <x:t xml:space="preserve">C1_D2_7</x:t>
        </x:is>
      </x:c>
      <x:c r="C829" t="n">
        <x:v>1</x:v>
      </x:c>
    </x:row>
    <x:row r="830">
      <x:c r="A830" t="inlineStr">
        <x:is>
          <x:t xml:space="preserve">P10</x:t>
        </x:is>
      </x:c>
      <x:c r="B830" t="inlineStr">
        <x:is>
          <x:t xml:space="preserve">C1_D3_3</x:t>
        </x:is>
      </x:c>
      <x:c r="C830" t="n">
        <x:v>1</x:v>
      </x:c>
    </x:row>
    <x:row r="831">
      <x:c r="A831" t="inlineStr">
        <x:is>
          <x:t xml:space="preserve">P10</x:t>
        </x:is>
      </x:c>
      <x:c r="B831" t="inlineStr">
        <x:is>
          <x:t xml:space="preserve">C1_D3_8</x:t>
        </x:is>
      </x:c>
      <x:c r="C831" t="n">
        <x:v>1</x:v>
      </x:c>
    </x:row>
    <x:row r="832">
      <x:c r="A832" t="inlineStr">
        <x:is>
          <x:t xml:space="preserve">P10</x:t>
        </x:is>
      </x:c>
      <x:c r="B832" t="inlineStr">
        <x:is>
          <x:t xml:space="preserve">C1_D4_5</x:t>
        </x:is>
      </x:c>
      <x:c r="C832" t="n">
        <x:v>1</x:v>
      </x:c>
    </x:row>
    <x:row r="833">
      <x:c r="A833" t="inlineStr">
        <x:is>
          <x:t xml:space="preserve">P10</x:t>
        </x:is>
      </x:c>
      <x:c r="B833" t="inlineStr">
        <x:is>
          <x:t xml:space="preserve">C1_D5_5</x:t>
        </x:is>
      </x:c>
      <x:c r="C833" t="n">
        <x:v>1</x:v>
      </x:c>
    </x:row>
    <x:row r="834">
      <x:c r="A834" t="inlineStr">
        <x:is>
          <x:t xml:space="preserve">P10</x:t>
        </x:is>
      </x:c>
      <x:c r="B834" t="inlineStr">
        <x:is>
          <x:t xml:space="preserve">C1_L1_4</x:t>
        </x:is>
      </x:c>
      <x:c r="C834" t="n">
        <x:v>1</x:v>
      </x:c>
    </x:row>
    <x:row r="835">
      <x:c r="A835" t="inlineStr">
        <x:is>
          <x:t xml:space="preserve">P10</x:t>
        </x:is>
      </x:c>
      <x:c r="B835" t="inlineStr">
        <x:is>
          <x:t xml:space="preserve">C1_L2_2</x:t>
        </x:is>
      </x:c>
      <x:c r="C835" t="n">
        <x:v>1</x:v>
      </x:c>
    </x:row>
    <x:row r="836">
      <x:c r="A836" t="inlineStr">
        <x:is>
          <x:t xml:space="preserve">P10</x:t>
        </x:is>
      </x:c>
      <x:c r="B836" t="inlineStr">
        <x:is>
          <x:t xml:space="preserve">C1_L3_2</x:t>
        </x:is>
      </x:c>
      <x:c r="C836" t="n">
        <x:v>1</x:v>
      </x:c>
    </x:row>
    <x:row r="837">
      <x:c r="A837" t="inlineStr">
        <x:is>
          <x:t xml:space="preserve">P10</x:t>
        </x:is>
      </x:c>
      <x:c r="B837" t="inlineStr">
        <x:is>
          <x:t xml:space="preserve">C2_D1_4</x:t>
        </x:is>
      </x:c>
      <x:c r="C837" t="n">
        <x:v>1</x:v>
      </x:c>
    </x:row>
    <x:row r="838">
      <x:c r="A838" t="inlineStr">
        <x:is>
          <x:t xml:space="preserve">P10</x:t>
        </x:is>
      </x:c>
      <x:c r="B838" t="inlineStr">
        <x:is>
          <x:t xml:space="preserve">C2_D2_7</x:t>
        </x:is>
      </x:c>
      <x:c r="C838" t="n">
        <x:v>1</x:v>
      </x:c>
    </x:row>
    <x:row r="839">
      <x:c r="A839" t="inlineStr">
        <x:is>
          <x:t xml:space="preserve">P10</x:t>
        </x:is>
      </x:c>
      <x:c r="B839" t="inlineStr">
        <x:is>
          <x:t xml:space="preserve">C2_D3_3</x:t>
        </x:is>
      </x:c>
      <x:c r="C839" t="n">
        <x:v>1</x:v>
      </x:c>
    </x:row>
    <x:row r="840">
      <x:c r="A840" t="inlineStr">
        <x:is>
          <x:t xml:space="preserve">P10</x:t>
        </x:is>
      </x:c>
      <x:c r="B840" t="inlineStr">
        <x:is>
          <x:t xml:space="preserve">C2_D3_8</x:t>
        </x:is>
      </x:c>
      <x:c r="C840" t="n">
        <x:v>1</x:v>
      </x:c>
    </x:row>
    <x:row r="841">
      <x:c r="A841" t="inlineStr">
        <x:is>
          <x:t xml:space="preserve">P10</x:t>
        </x:is>
      </x:c>
      <x:c r="B841" t="inlineStr">
        <x:is>
          <x:t xml:space="preserve">C2_D4_5</x:t>
        </x:is>
      </x:c>
      <x:c r="C841" t="n">
        <x:v>1</x:v>
      </x:c>
    </x:row>
    <x:row r="842">
      <x:c r="A842" t="inlineStr">
        <x:is>
          <x:t xml:space="preserve">P10</x:t>
        </x:is>
      </x:c>
      <x:c r="B842" t="inlineStr">
        <x:is>
          <x:t xml:space="preserve">C2_D5_7</x:t>
        </x:is>
      </x:c>
      <x:c r="C842" t="n">
        <x:v>1</x:v>
      </x:c>
    </x:row>
    <x:row r="843">
      <x:c r="A843" t="inlineStr">
        <x:is>
          <x:t xml:space="preserve">P10</x:t>
        </x:is>
      </x:c>
      <x:c r="B843" t="inlineStr">
        <x:is>
          <x:t xml:space="preserve">C2_L1_5</x:t>
        </x:is>
      </x:c>
      <x:c r="C843" t="n">
        <x:v>1</x:v>
      </x:c>
    </x:row>
    <x:row r="844">
      <x:c r="A844" t="inlineStr">
        <x:is>
          <x:t xml:space="preserve">P10</x:t>
        </x:is>
      </x:c>
      <x:c r="B844" t="inlineStr">
        <x:is>
          <x:t xml:space="preserve">C2_L2_3</x:t>
        </x:is>
      </x:c>
      <x:c r="C844" t="n">
        <x:v>1</x:v>
      </x:c>
    </x:row>
    <x:row r="845">
      <x:c r="A845" t="inlineStr">
        <x:is>
          <x:t xml:space="preserve">P10</x:t>
        </x:is>
      </x:c>
      <x:c r="B845" t="inlineStr">
        <x:is>
          <x:t xml:space="preserve">C2_L3_2</x:t>
        </x:is>
      </x:c>
      <x:c r="C845" t="n">
        <x:v>1</x:v>
      </x:c>
    </x:row>
    <x:row r="846">
      <x:c r="A846" t="inlineStr">
        <x:is>
          <x:t xml:space="preserve">P10</x:t>
        </x:is>
      </x:c>
      <x:c r="B846" t="inlineStr">
        <x:is>
          <x:t xml:space="preserve">C3_D1_2</x:t>
        </x:is>
      </x:c>
      <x:c r="C846" t="n">
        <x:v>1</x:v>
      </x:c>
    </x:row>
    <x:row r="847">
      <x:c r="A847" t="inlineStr">
        <x:is>
          <x:t xml:space="preserve">P10</x:t>
        </x:is>
      </x:c>
      <x:c r="B847" t="inlineStr">
        <x:is>
          <x:t xml:space="preserve">C3_D2_4</x:t>
        </x:is>
      </x:c>
      <x:c r="C847" t="n">
        <x:v>1</x:v>
      </x:c>
    </x:row>
    <x:row r="848">
      <x:c r="A848" t="inlineStr">
        <x:is>
          <x:t xml:space="preserve">P10</x:t>
        </x:is>
      </x:c>
      <x:c r="B848" t="inlineStr">
        <x:is>
          <x:t xml:space="preserve">C3_D3_2</x:t>
        </x:is>
      </x:c>
      <x:c r="C848" t="n">
        <x:v>1</x:v>
      </x:c>
    </x:row>
    <x:row r="849">
      <x:c r="A849" t="inlineStr">
        <x:is>
          <x:t xml:space="preserve">P10</x:t>
        </x:is>
      </x:c>
      <x:c r="B849" t="inlineStr">
        <x:is>
          <x:t xml:space="preserve">C3_D3_5</x:t>
        </x:is>
      </x:c>
      <x:c r="C849" t="n">
        <x:v>1</x:v>
      </x:c>
    </x:row>
    <x:row r="850">
      <x:c r="A850" t="inlineStr">
        <x:is>
          <x:t xml:space="preserve">P10</x:t>
        </x:is>
      </x:c>
      <x:c r="B850" t="inlineStr">
        <x:is>
          <x:t xml:space="preserve">C3_D4_8</x:t>
        </x:is>
      </x:c>
      <x:c r="C850" t="n">
        <x:v>1</x:v>
      </x:c>
    </x:row>
    <x:row r="851">
      <x:c r="A851" t="inlineStr">
        <x:is>
          <x:t xml:space="preserve">P10</x:t>
        </x:is>
      </x:c>
      <x:c r="B851" t="inlineStr">
        <x:is>
          <x:t xml:space="preserve">C3_D5_4</x:t>
        </x:is>
      </x:c>
      <x:c r="C851" t="n">
        <x:v>1</x:v>
      </x:c>
    </x:row>
    <x:row r="852">
      <x:c r="A852" t="inlineStr">
        <x:is>
          <x:t xml:space="preserve">P10</x:t>
        </x:is>
      </x:c>
      <x:c r="B852" t="inlineStr">
        <x:is>
          <x:t xml:space="preserve">C3_L1_2</x:t>
        </x:is>
      </x:c>
      <x:c r="C852" t="n">
        <x:v>1</x:v>
      </x:c>
    </x:row>
    <x:row r="853">
      <x:c r="A853" t="inlineStr">
        <x:is>
          <x:t xml:space="preserve">P10</x:t>
        </x:is>
      </x:c>
      <x:c r="B853" t="inlineStr">
        <x:is>
          <x:t xml:space="preserve">C3_L2_3</x:t>
        </x:is>
      </x:c>
      <x:c r="C853" t="n">
        <x:v>1</x:v>
      </x:c>
    </x:row>
    <x:row r="854">
      <x:c r="A854" t="inlineStr">
        <x:is>
          <x:t xml:space="preserve">P10</x:t>
        </x:is>
      </x:c>
      <x:c r="B854" t="inlineStr">
        <x:is>
          <x:t xml:space="preserve">C3_L3_1</x:t>
        </x:is>
      </x:c>
      <x:c r="C854" t="n">
        <x:v>1</x:v>
      </x:c>
    </x:row>
    <x:row r="855">
      <x:c r="A855" t="inlineStr">
        <x:is>
          <x:t xml:space="preserve">P10</x:t>
        </x:is>
      </x:c>
      <x:c r="B855" t="inlineStr">
        <x:is>
          <x:t xml:space="preserve">C4_D1_2</x:t>
        </x:is>
      </x:c>
      <x:c r="C855" t="n">
        <x:v>1</x:v>
      </x:c>
    </x:row>
    <x:row r="856">
      <x:c r="A856" t="inlineStr">
        <x:is>
          <x:t xml:space="preserve">P10</x:t>
        </x:is>
      </x:c>
      <x:c r="B856" t="inlineStr">
        <x:is>
          <x:t xml:space="preserve">C4_D2_4</x:t>
        </x:is>
      </x:c>
      <x:c r="C856" t="n">
        <x:v>1</x:v>
      </x:c>
    </x:row>
    <x:row r="857">
      <x:c r="A857" t="inlineStr">
        <x:is>
          <x:t xml:space="preserve">P10</x:t>
        </x:is>
      </x:c>
      <x:c r="B857" t="inlineStr">
        <x:is>
          <x:t xml:space="preserve">C4_D3_2</x:t>
        </x:is>
      </x:c>
      <x:c r="C857" t="n">
        <x:v>1</x:v>
      </x:c>
    </x:row>
    <x:row r="858">
      <x:c r="A858" t="inlineStr">
        <x:is>
          <x:t xml:space="preserve">P10</x:t>
        </x:is>
      </x:c>
      <x:c r="B858" t="inlineStr">
        <x:is>
          <x:t xml:space="preserve">C4_D3_8</x:t>
        </x:is>
      </x:c>
      <x:c r="C858" t="n">
        <x:v>1</x:v>
      </x:c>
    </x:row>
    <x:row r="859">
      <x:c r="A859" t="inlineStr">
        <x:is>
          <x:t xml:space="preserve">P10</x:t>
        </x:is>
      </x:c>
      <x:c r="B859" t="inlineStr">
        <x:is>
          <x:t xml:space="preserve">C4_D4_5</x:t>
        </x:is>
      </x:c>
      <x:c r="C859" t="n">
        <x:v>1</x:v>
      </x:c>
    </x:row>
    <x:row r="860">
      <x:c r="A860" t="inlineStr">
        <x:is>
          <x:t xml:space="preserve">P10</x:t>
        </x:is>
      </x:c>
      <x:c r="B860" t="inlineStr">
        <x:is>
          <x:t xml:space="preserve">C4_D5_5</x:t>
        </x:is>
      </x:c>
      <x:c r="C860" t="n">
        <x:v>1</x:v>
      </x:c>
    </x:row>
    <x:row r="861">
      <x:c r="A861" t="inlineStr">
        <x:is>
          <x:t xml:space="preserve">P10</x:t>
        </x:is>
      </x:c>
      <x:c r="B861" t="inlineStr">
        <x:is>
          <x:t xml:space="preserve">C4_L1_2</x:t>
        </x:is>
      </x:c>
      <x:c r="C861" t="n">
        <x:v>1</x:v>
      </x:c>
    </x:row>
    <x:row r="862">
      <x:c r="A862" t="inlineStr">
        <x:is>
          <x:t xml:space="preserve">P10</x:t>
        </x:is>
      </x:c>
      <x:c r="B862" t="inlineStr">
        <x:is>
          <x:t xml:space="preserve">C4_L2_4</x:t>
        </x:is>
      </x:c>
      <x:c r="C862" t="n">
        <x:v>1</x:v>
      </x:c>
    </x:row>
    <x:row r="863">
      <x:c r="A863" t="inlineStr">
        <x:is>
          <x:t xml:space="preserve">P10</x:t>
        </x:is>
      </x:c>
      <x:c r="B863" t="inlineStr">
        <x:is>
          <x:t xml:space="preserve">C4_L3_4</x:t>
        </x:is>
      </x:c>
      <x:c r="C863" t="n">
        <x:v>1</x:v>
      </x:c>
    </x:row>
    <x:row r="864">
      <x:c r="A864" t="inlineStr">
        <x:is>
          <x:t xml:space="preserve">P10</x:t>
        </x:is>
      </x:c>
      <x:c r="B864" t="inlineStr">
        <x:is>
          <x:t xml:space="preserve">C5_D1_4</x:t>
        </x:is>
      </x:c>
      <x:c r="C864" t="n">
        <x:v>1</x:v>
      </x:c>
    </x:row>
    <x:row r="865">
      <x:c r="A865" t="inlineStr">
        <x:is>
          <x:t xml:space="preserve">P10</x:t>
        </x:is>
      </x:c>
      <x:c r="B865" t="inlineStr">
        <x:is>
          <x:t xml:space="preserve">C5_D2_7</x:t>
        </x:is>
      </x:c>
      <x:c r="C865" t="n">
        <x:v>1</x:v>
      </x:c>
    </x:row>
    <x:row r="866">
      <x:c r="A866" t="inlineStr">
        <x:is>
          <x:t xml:space="preserve">P10</x:t>
        </x:is>
      </x:c>
      <x:c r="B866" t="inlineStr">
        <x:is>
          <x:t xml:space="preserve">C5_D3_3</x:t>
        </x:is>
      </x:c>
      <x:c r="C866" t="n">
        <x:v>1</x:v>
      </x:c>
    </x:row>
    <x:row r="867">
      <x:c r="A867" t="inlineStr">
        <x:is>
          <x:t xml:space="preserve">P10</x:t>
        </x:is>
      </x:c>
      <x:c r="B867" t="inlineStr">
        <x:is>
          <x:t xml:space="preserve">C5_D3_8</x:t>
        </x:is>
      </x:c>
      <x:c r="C867" t="n">
        <x:v>1</x:v>
      </x:c>
    </x:row>
    <x:row r="868">
      <x:c r="A868" t="inlineStr">
        <x:is>
          <x:t xml:space="preserve">P10</x:t>
        </x:is>
      </x:c>
      <x:c r="B868" t="inlineStr">
        <x:is>
          <x:t xml:space="preserve">C5_D4_5</x:t>
        </x:is>
      </x:c>
      <x:c r="C868" t="n">
        <x:v>1</x:v>
      </x:c>
    </x:row>
    <x:row r="869">
      <x:c r="A869" t="inlineStr">
        <x:is>
          <x:t xml:space="preserve">P10</x:t>
        </x:is>
      </x:c>
      <x:c r="B869" t="inlineStr">
        <x:is>
          <x:t xml:space="preserve">C5_D5_5</x:t>
        </x:is>
      </x:c>
      <x:c r="C869" t="n">
        <x:v>1</x:v>
      </x:c>
    </x:row>
    <x:row r="870">
      <x:c r="A870" t="inlineStr">
        <x:is>
          <x:t xml:space="preserve">P10</x:t>
        </x:is>
      </x:c>
      <x:c r="B870" t="inlineStr">
        <x:is>
          <x:t xml:space="preserve">C5_L1_6</x:t>
        </x:is>
      </x:c>
      <x:c r="C870" t="n">
        <x:v>1</x:v>
      </x:c>
    </x:row>
    <x:row r="871">
      <x:c r="A871" t="inlineStr">
        <x:is>
          <x:t xml:space="preserve">P10</x:t>
        </x:is>
      </x:c>
      <x:c r="B871" t="inlineStr">
        <x:is>
          <x:t xml:space="preserve">C5_L2_3</x:t>
        </x:is>
      </x:c>
      <x:c r="C871" t="n">
        <x:v>1</x:v>
      </x:c>
    </x:row>
    <x:row r="872">
      <x:c r="A872" t="inlineStr">
        <x:is>
          <x:t xml:space="preserve">P10</x:t>
        </x:is>
      </x:c>
      <x:c r="B872" t="inlineStr">
        <x:is>
          <x:t xml:space="preserve">C5_L3_2</x:t>
        </x:is>
      </x:c>
      <x:c r="C872" t="n">
        <x:v>1</x:v>
      </x:c>
    </x:row>
    <x:row r="873">
      <x:c r="A873" t="inlineStr">
        <x:is>
          <x:t xml:space="preserve">P10</x:t>
        </x:is>
      </x:c>
      <x:c r="B873" t="inlineStr">
        <x:is>
          <x:t xml:space="preserve">F1_4</x:t>
        </x:is>
      </x:c>
      <x:c r="C873" t="n">
        <x:v>1</x:v>
      </x:c>
    </x:row>
    <x:row r="874">
      <x:c r="A874" t="inlineStr">
        <x:is>
          <x:t xml:space="preserve">P10</x:t>
        </x:is>
      </x:c>
      <x:c r="B874" t="inlineStr">
        <x:is>
          <x:t xml:space="preserve">F2_1</x:t>
        </x:is>
      </x:c>
      <x:c r="C874" t="n">
        <x:v>1</x:v>
      </x:c>
    </x:row>
    <x:row r="875">
      <x:c r="A875" t="inlineStr">
        <x:is>
          <x:t xml:space="preserve">P10</x:t>
        </x:is>
      </x:c>
      <x:c r="B875" t="inlineStr">
        <x:is>
          <x:t xml:space="preserve">F2_4</x:t>
        </x:is>
      </x:c>
      <x:c r="C875" t="n">
        <x:v>1</x:v>
      </x:c>
    </x:row>
    <x:row r="876">
      <x:c r="A876" t="inlineStr">
        <x:is>
          <x:t xml:space="preserve">P10</x:t>
        </x:is>
      </x:c>
      <x:c r="B876" t="inlineStr">
        <x:is>
          <x:t xml:space="preserve">G1_5</x:t>
        </x:is>
      </x:c>
      <x:c r="C876" t="n">
        <x:v>1</x:v>
      </x:c>
    </x:row>
    <x:row r="877">
      <x:c r="A877" t="inlineStr">
        <x:is>
          <x:t xml:space="preserve">P10</x:t>
        </x:is>
      </x:c>
      <x:c r="B877" t="inlineStr">
        <x:is>
          <x:t xml:space="preserve">G2_4</x:t>
        </x:is>
      </x:c>
      <x:c r="C877" t="n">
        <x:v>1</x:v>
      </x:c>
    </x:row>
    <x:row r="878">
      <x:c r="A878" t="inlineStr">
        <x:is>
          <x:t xml:space="preserve">P10</x:t>
        </x:is>
      </x:c>
      <x:c r="B878" t="inlineStr">
        <x:is>
          <x:t xml:space="preserve">G3_4</x:t>
        </x:is>
      </x:c>
      <x:c r="C878" t="n">
        <x:v>1</x:v>
      </x:c>
    </x:row>
    <x:row r="879">
      <x:c r="A879" t="inlineStr">
        <x:is>
          <x:t xml:space="preserve">P10</x:t>
        </x:is>
      </x:c>
      <x:c r="B879" t="inlineStr">
        <x:is>
          <x:t xml:space="preserve">G4_4</x:t>
        </x:is>
      </x:c>
      <x:c r="C879" t="n">
        <x:v>1</x:v>
      </x:c>
    </x:row>
    <x:row r="880">
      <x:c r="A880" t="inlineStr">
        <x:is>
          <x:t xml:space="preserve">P10</x:t>
        </x:is>
      </x:c>
      <x:c r="B880" t="inlineStr">
        <x:is>
          <x:t xml:space="preserve">G5_3</x:t>
        </x:is>
      </x:c>
      <x:c r="C880" t="n">
        <x:v>1</x:v>
      </x:c>
    </x:row>
    <x:row r="881">
      <x:c r="A881" t="inlineStr">
        <x:is>
          <x:t xml:space="preserve">P10</x:t>
        </x:is>
      </x:c>
      <x:c r="B881" t="inlineStr">
        <x:is>
          <x:t xml:space="preserve">G6_2</x:t>
        </x:is>
      </x:c>
      <x:c r="C881" t="n">
        <x:v>1</x:v>
      </x:c>
    </x:row>
    <x:row r="882">
      <x:c r="A882" t="inlineStr">
        <x:is>
          <x:t xml:space="preserve">P10</x:t>
        </x:is>
      </x:c>
      <x:c r="B882" t="inlineStr">
        <x:is>
          <x:t xml:space="preserve">G7_4</x:t>
        </x:is>
      </x:c>
      <x:c r="C882" t="n">
        <x:v>1</x:v>
      </x:c>
    </x:row>
    <x:row r="883">
      <x:c r="A883" t="inlineStr">
        <x:is>
          <x:t xml:space="preserve">P10</x:t>
        </x:is>
      </x:c>
      <x:c r="B883" t="inlineStr">
        <x:is>
          <x:t xml:space="preserve">PROF_3</x:t>
        </x:is>
      </x:c>
      <x:c r="C883" t="n">
        <x:v>1</x:v>
      </x:c>
    </x:row>
    <x:row r="884">
      <x:c r="A884" t="inlineStr">
        <x:is>
          <x:t xml:space="preserve">P10</x:t>
        </x:is>
      </x:c>
      <x:c r="B884" t="inlineStr">
        <x:is>
          <x:t xml:space="preserve">Q1_2</x:t>
        </x:is>
      </x:c>
      <x:c r="C884" t="n">
        <x:v>1</x:v>
      </x:c>
    </x:row>
    <x:row r="885">
      <x:c r="A885" t="inlineStr">
        <x:is>
          <x:t xml:space="preserve">P10</x:t>
        </x:is>
      </x:c>
      <x:c r="B885" t="inlineStr">
        <x:is>
          <x:t xml:space="preserve">Q2_1</x:t>
        </x:is>
      </x:c>
      <x:c r="C885" t="n">
        <x:v>1</x:v>
      </x:c>
    </x:row>
    <x:row r="886">
      <x:c r="A886" t="inlineStr">
        <x:is>
          <x:t xml:space="preserve">P10</x:t>
        </x:is>
      </x:c>
      <x:c r="B886" t="inlineStr">
        <x:is>
          <x:t xml:space="preserve">Q3_2</x:t>
        </x:is>
      </x:c>
      <x:c r="C886" t="n">
        <x:v>1</x:v>
      </x:c>
    </x:row>
    <x:row r="887">
      <x:c r="A887" t="inlineStr">
        <x:is>
          <x:t xml:space="preserve">P10</x:t>
        </x:is>
      </x:c>
      <x:c r="B887" t="inlineStr">
        <x:is>
          <x:t xml:space="preserve">Q4_2</x:t>
        </x:is>
      </x:c>
      <x:c r="C887" t="n">
        <x:v>1</x:v>
      </x:c>
    </x:row>
    <x:row r="888">
      <x:c r="A888" t="inlineStr">
        <x:is>
          <x:t xml:space="preserve">P10</x:t>
        </x:is>
      </x:c>
      <x:c r="B888" t="inlineStr">
        <x:is>
          <x:t xml:space="preserve">Q5_2</x:t>
        </x:is>
      </x:c>
      <x:c r="C888" t="n">
        <x:v>1</x:v>
      </x:c>
    </x:row>
    <x:row r="889">
      <x:c r="A889" t="inlineStr">
        <x:is>
          <x:t xml:space="preserve">P10</x:t>
        </x:is>
      </x:c>
      <x:c r="B889" t="inlineStr">
        <x:is>
          <x:t xml:space="preserve">S10_2</x:t>
        </x:is>
      </x:c>
      <x:c r="C889" t="n">
        <x:v>1</x:v>
      </x:c>
    </x:row>
    <x:row r="890">
      <x:c r="A890" t="inlineStr">
        <x:is>
          <x:t xml:space="preserve">P10</x:t>
        </x:is>
      </x:c>
      <x:c r="B890" t="inlineStr">
        <x:is>
          <x:t xml:space="preserve">S1_4</x:t>
        </x:is>
      </x:c>
      <x:c r="C890" t="n">
        <x:v>1</x:v>
      </x:c>
    </x:row>
    <x:row r="891">
      <x:c r="A891" t="inlineStr">
        <x:is>
          <x:t xml:space="preserve">P10</x:t>
        </x:is>
      </x:c>
      <x:c r="B891" t="inlineStr">
        <x:is>
          <x:t xml:space="preserve">S2_2</x:t>
        </x:is>
      </x:c>
      <x:c r="C891" t="n">
        <x:v>1</x:v>
      </x:c>
    </x:row>
    <x:row r="892">
      <x:c r="A892" t="inlineStr">
        <x:is>
          <x:t xml:space="preserve">P10</x:t>
        </x:is>
      </x:c>
      <x:c r="B892" t="inlineStr">
        <x:is>
          <x:t xml:space="preserve">S3_4</x:t>
        </x:is>
      </x:c>
      <x:c r="C892" t="n">
        <x:v>1</x:v>
      </x:c>
    </x:row>
    <x:row r="893">
      <x:c r="A893" t="inlineStr">
        <x:is>
          <x:t xml:space="preserve">P10</x:t>
        </x:is>
      </x:c>
      <x:c r="B893" t="inlineStr">
        <x:is>
          <x:t xml:space="preserve">S4_2</x:t>
        </x:is>
      </x:c>
      <x:c r="C893" t="n">
        <x:v>1</x:v>
      </x:c>
    </x:row>
    <x:row r="894">
      <x:c r="A894" t="inlineStr">
        <x:is>
          <x:t xml:space="preserve">P10</x:t>
        </x:is>
      </x:c>
      <x:c r="B894" t="inlineStr">
        <x:is>
          <x:t xml:space="preserve">S5_4</x:t>
        </x:is>
      </x:c>
      <x:c r="C894" t="n">
        <x:v>1</x:v>
      </x:c>
    </x:row>
    <x:row r="895">
      <x:c r="A895" t="inlineStr">
        <x:is>
          <x:t xml:space="preserve">P10</x:t>
        </x:is>
      </x:c>
      <x:c r="B895" t="inlineStr">
        <x:is>
          <x:t xml:space="preserve">S6_1</x:t>
        </x:is>
      </x:c>
      <x:c r="C895" t="n">
        <x:v>1</x:v>
      </x:c>
    </x:row>
    <x:row r="896">
      <x:c r="A896" t="inlineStr">
        <x:is>
          <x:t xml:space="preserve">P10</x:t>
        </x:is>
      </x:c>
      <x:c r="B896" t="inlineStr">
        <x:is>
          <x:t xml:space="preserve">S7_4</x:t>
        </x:is>
      </x:c>
      <x:c r="C896" t="n">
        <x:v>1</x:v>
      </x:c>
    </x:row>
    <x:row r="897">
      <x:c r="A897" t="inlineStr">
        <x:is>
          <x:t xml:space="preserve">P10</x:t>
        </x:is>
      </x:c>
      <x:c r="B897" t="inlineStr">
        <x:is>
          <x:t xml:space="preserve">S8_1</x:t>
        </x:is>
      </x:c>
      <x:c r="C897" t="n">
        <x:v>1</x:v>
      </x:c>
    </x:row>
    <x:row r="898">
      <x:c r="A898" t="inlineStr">
        <x:is>
          <x:t xml:space="preserve">P10</x:t>
        </x:is>
      </x:c>
      <x:c r="B898" t="inlineStr">
        <x:is>
          <x:t xml:space="preserve">S9_4</x:t>
        </x:is>
      </x:c>
      <x:c r="C898" t="n">
        <x:v>1</x:v>
      </x:c>
    </x:row>
    <x:row r="899">
      <x:c r="A899" t="inlineStr">
        <x:is>
          <x:t xml:space="preserve">P10</x:t>
        </x:is>
      </x:c>
      <x:c r="B899" t="inlineStr">
        <x:is>
          <x:t xml:space="preserve">TOK_C_1</x:t>
        </x:is>
      </x:c>
      <x:c r="C899" t="n">
        <x:v>1</x:v>
      </x:c>
    </x:row>
    <x:row r="900">
      <x:c r="A900" t="inlineStr">
        <x:is>
          <x:t xml:space="preserve">P10</x:t>
        </x:is>
      </x:c>
      <x:c r="B900" t="inlineStr">
        <x:is>
          <x:t xml:space="preserve">TOK_C_2</x:t>
        </x:is>
      </x:c>
      <x:c r="C900" t="n">
        <x:v>1</x:v>
      </x:c>
    </x:row>
    <x:row r="901">
      <x:c r="A901" t="inlineStr">
        <x:is>
          <x:t xml:space="preserve">P10</x:t>
        </x:is>
      </x:c>
      <x:c r="B901" t="inlineStr">
        <x:is>
          <x:t xml:space="preserve">TOK_C_3</x:t>
        </x:is>
      </x:c>
      <x:c r="C901" t="n">
        <x:v>1</x:v>
      </x:c>
    </x:row>
    <x:row r="902">
      <x:c r="A902" t="inlineStr">
        <x:is>
          <x:t xml:space="preserve">P10</x:t>
        </x:is>
      </x:c>
      <x:c r="B902" t="inlineStr">
        <x:is>
          <x:t xml:space="preserve">TOK_S_1</x:t>
        </x:is>
      </x:c>
      <x:c r="C902" t="n">
        <x:v>1</x:v>
      </x:c>
    </x:row>
    <x:row r="903">
      <x:c r="A903" t="inlineStr">
        <x:is>
          <x:t xml:space="preserve">P10</x:t>
        </x:is>
      </x:c>
      <x:c r="B903" t="inlineStr">
        <x:is>
          <x:t xml:space="preserve">TOK_S_2</x:t>
        </x:is>
      </x:c>
      <x:c r="C903" t="n">
        <x:v>1</x:v>
      </x:c>
    </x:row>
    <x:row r="904">
      <x:c r="A904" t="inlineStr">
        <x:is>
          <x:t xml:space="preserve">P10</x:t>
        </x:is>
      </x:c>
      <x:c r="B904" t="inlineStr">
        <x:is>
          <x:t xml:space="preserve">TOK_S_3</x:t>
        </x:is>
      </x:c>
      <x:c r="C904" t="n">
        <x:v>1</x:v>
      </x:c>
    </x:row>
    <x:row r="905">
      <x:c r="A905" t="inlineStr">
        <x:is>
          <x:t xml:space="preserve">P10</x:t>
        </x:is>
      </x:c>
      <x:c r="B905" t="inlineStr">
        <x:is>
          <x:t xml:space="preserve">TOK_T_1</x:t>
        </x:is>
      </x:c>
      <x:c r="C905" t="n">
        <x:v>1</x:v>
      </x:c>
    </x:row>
    <x:row r="906">
      <x:c r="A906" t="inlineStr">
        <x:is>
          <x:t xml:space="preserve">P10</x:t>
        </x:is>
      </x:c>
      <x:c r="B906" t="inlineStr">
        <x:is>
          <x:t xml:space="preserve">TOK_T_2</x:t>
        </x:is>
      </x:c>
      <x:c r="C906" t="n">
        <x:v>1</x:v>
      </x:c>
    </x:row>
    <x:row r="907">
      <x:c r="A907" t="inlineStr">
        <x:is>
          <x:t xml:space="preserve">P10</x:t>
        </x:is>
      </x:c>
      <x:c r="B907" t="inlineStr">
        <x:is>
          <x:t xml:space="preserve">TOK_T_3</x:t>
        </x:is>
      </x:c>
      <x:c r="C907" t="n">
        <x:v>1</x:v>
      </x:c>
    </x:row>
    <x:row r="908">
      <x:c r="A908" t="inlineStr">
        <x:is>
          <x:t xml:space="preserve">P10</x:t>
        </x:is>
      </x:c>
      <x:c r="B908" t="inlineStr">
        <x:is>
          <x:t xml:space="preserve">TOK_T_4</x:t>
        </x:is>
      </x:c>
      <x:c r="C908" t="n">
        <x:v>1</x:v>
      </x:c>
    </x:row>
    <x:row r="909">
      <x:c r="A909" t="inlineStr">
        <x:is>
          <x:t xml:space="preserve">P10</x:t>
        </x:is>
      </x:c>
      <x:c r="B909" t="inlineStr">
        <x:is>
          <x:t xml:space="preserve">V1_1_2</x:t>
        </x:is>
      </x:c>
      <x:c r="C909" t="n">
        <x:v>1</x:v>
      </x:c>
    </x:row>
    <x:row r="910">
      <x:c r="A910" t="inlineStr">
        <x:is>
          <x:t xml:space="preserve">P10</x:t>
        </x:is>
      </x:c>
      <x:c r="B910" t="inlineStr">
        <x:is>
          <x:t xml:space="preserve">V1_2_3</x:t>
        </x:is>
      </x:c>
      <x:c r="C910" t="n">
        <x:v>1</x:v>
      </x:c>
    </x:row>
    <x:row r="911">
      <x:c r="A911" t="inlineStr">
        <x:is>
          <x:t xml:space="preserve">P10</x:t>
        </x:is>
      </x:c>
      <x:c r="B911" t="inlineStr">
        <x:is>
          <x:t xml:space="preserve">V1_3_3</x:t>
        </x:is>
      </x:c>
      <x:c r="C911" t="n">
        <x:v>1</x:v>
      </x:c>
    </x:row>
    <x:row r="912">
      <x:c r="A912" t="inlineStr">
        <x:is>
          <x:t xml:space="preserve">P10</x:t>
        </x:is>
      </x:c>
      <x:c r="B912" t="inlineStr">
        <x:is>
          <x:t xml:space="preserve">V2_1_2</x:t>
        </x:is>
      </x:c>
      <x:c r="C912" t="n">
        <x:v>1</x:v>
      </x:c>
    </x:row>
    <x:row r="913">
      <x:c r="A913" t="inlineStr">
        <x:is>
          <x:t xml:space="preserve">P10</x:t>
        </x:is>
      </x:c>
      <x:c r="B913" t="inlineStr">
        <x:is>
          <x:t xml:space="preserve">V2_2_3</x:t>
        </x:is>
      </x:c>
      <x:c r="C913" t="n">
        <x:v>1</x:v>
      </x:c>
    </x:row>
    <x:row r="914">
      <x:c r="A914" t="inlineStr">
        <x:is>
          <x:t xml:space="preserve">P10</x:t>
        </x:is>
      </x:c>
      <x:c r="B914" t="inlineStr">
        <x:is>
          <x:t xml:space="preserve">V2_3_4</x:t>
        </x:is>
      </x:c>
      <x:c r="C914" t="n">
        <x:v>1</x:v>
      </x:c>
    </x:row>
    <x:row r="915">
      <x:c r="A915" t="inlineStr">
        <x:is>
          <x:t xml:space="preserve">P10</x:t>
        </x:is>
      </x:c>
      <x:c r="B915" t="inlineStr">
        <x:is>
          <x:t xml:space="preserve">COMMENTO</x:t>
        </x:is>
      </x:c>
      <x:c r="C915" t="inlineStr">
        <x:is>
          <x:t xml:space="preserve">…………………………</x:t>
        </x:is>
      </x:c>
    </x:row>
    <x:row r="916">
      <x:c r="A916" t="inlineStr">
        <x:is>
          <x:t xml:space="preserve">P10</x:t>
        </x:is>
      </x:c>
      <x:c r="B916" t="inlineStr">
        <x:is>
          <x:t xml:space="preserve">T_FINE</x:t>
        </x:is>
      </x:c>
      <x:c r="C916" t="inlineStr">
        <x:is>
          <x:t xml:space="preserve">hh:mm</x:t>
        </x:is>
      </x:c>
    </x:row>
    <x:row r="917">
      <x:c r="A917" t="inlineStr">
        <x:is>
          <x:t xml:space="preserve">P10</x:t>
        </x:is>
      </x:c>
      <x:c r="B917" t="inlineStr">
        <x:is>
          <x:t xml:space="preserve">T_INIZIO</x:t>
        </x:is>
      </x:c>
      <x:c r="C917" t="inlineStr">
        <x:is>
          <x:t xml:space="preserve">hh:mm</x:t>
        </x:is>
      </x:c>
    </x:row>
  </x:sheetData>
  <x:pageMargins left="0.7" right="0.7" top="0.75" bottom="0.75" header="0.3" footer="0.3"/>
</x:worksheet>
</file>